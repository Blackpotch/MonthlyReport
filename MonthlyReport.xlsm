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D:\Stumpers\PIRSA\MonthlyReportDev\"/>
    </mc:Choice>
  </mc:AlternateContent>
  <bookViews>
    <workbookView xWindow="132" yWindow="12" windowWidth="9420" windowHeight="4752" tabRatio="689" firstSheet="2" activeTab="12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16" i="11" l="1"/>
  <c r="F70" i="13" l="1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<sst xmlns="http://schemas.openxmlformats.org/spreadsheetml/2006/main" count="253" uniqueCount="116">
  <si>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</si>
  <si>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</si>
  <si>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</si>
  <si>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</si>
  <si>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</si>
  <si>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</si>
  <si>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</si>
  <si>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</si>
  <si>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</si>
  <si>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</si>
  <si>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</si>
  <si>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</si>
  <si>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</si>
  <si>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</si>
  <si>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</si>
  <si>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</si>
  <si>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</si>
  <si>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</si>
  <si>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</si>
  <si>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</si>
  <si>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</si>
  <si>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</si>
  <si>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</si>
  <si>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</si>
  <si>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</si>
  <si>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</si>
  <si>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</si>
  <si>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</si>
  <si>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</si>
  <si>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</si>
  <si>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</si>
  <si>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</si>
  <si>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</si>
  <si>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</si>
  <si>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</si>
  <si>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</si>
  <si>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</si>
  <si>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</si>
  <si>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</si>
  <si>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</si>
  <si>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</si>
  <si>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</si>
  <si>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</si>
  <si>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</si>
  <si>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</si>
  <si>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</si>
  <si>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</si>
  <si>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</si>
  <si>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</si>
  <si>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</si>
  <si>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</si>
  <si>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</si>
  <si>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</si>
  <si>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</si>
  <si>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</si>
  <si>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</si>
  <si>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</si>
  <si>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</si>
  <si>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</si>
  <si>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</si>
  <si>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</si>
  <si>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</si>
  <si>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</si>
  <si>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</si>
  <si>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</si>
  <si>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</si>
  <si>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</si>
  <si>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</si>
  <si>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</si>
  <si>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</si>
  <si>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</si>
  <si>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</si>
  <si>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</si>
  <si>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</si>
  <si>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</si>
  <si>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</si>
  <si>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</si>
  <si>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</si>
  <si>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</si>
  <si>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</si>
  <si>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</si>
  <si>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</si>
  <si>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</si>
  <si>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</si>
  <si>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</si>
  <si>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</si>
  <si>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</si>
  <si>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</si>
  <si>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</si>
  <si>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</si>
  <si>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</si>
  <si>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</si>
  <si>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</si>
  <si>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</si>
  <si>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</si>
  <si>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</si>
  <si>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</si>
  <si>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</si>
  <si>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</si>
  <si>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</si>
  <si>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</si>
  <si>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</si>
  <si>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</si>
  <si>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</si>
  <si>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</si>
  <si>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</si>
  <si>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</si>
  <si>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</si>
  <si>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</si>
  <si>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</si>
  <si>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</si>
  <si>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</si>
  <si>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</si>
  <si>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</si>
  <si>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August</t>
  </si>
  <si>
    <t>PINNAROO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</si>
</sst>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81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59552"/>
        <c:axId val="193858768"/>
      </c:barChart>
      <c:catAx>
        <c:axId val="19385955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58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385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5955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59944"/>
        <c:axId val="193860336"/>
      </c:barChart>
      <c:catAx>
        <c:axId val="19385994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60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38603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599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62296"/>
        <c:axId val="193861904"/>
      </c:barChart>
      <c:catAx>
        <c:axId val="19386229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6190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938619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622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62688"/>
        <c:axId val="193863080"/>
      </c:barChart>
      <c:catAx>
        <c:axId val="193862688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63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3863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38626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548624"/>
        <c:axId val="196552152"/>
      </c:barChart>
      <c:catAx>
        <c:axId val="19654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215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9655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51368"/>
        <c:axId val="196549800"/>
      </c:barChart>
      <c:catAx>
        <c:axId val="19655136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49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5498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513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50192"/>
        <c:axId val="196552936"/>
      </c:barChart>
      <c:catAx>
        <c:axId val="196550192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529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96552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501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49016"/>
        <c:axId val="196550584"/>
      </c:barChart>
      <c:catAx>
        <c:axId val="196549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50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550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490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22</xdr:row>
          <xdr:rowOff>20196</xdr:rowOff>
        </xdr:from>
        <xdr:to>
          <xdr:col>6</xdr:col>
          <xdr:colOff>502920</xdr:colOff>
          <xdr:row>39</xdr:row>
          <xdr:rowOff>6249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276860</xdr:colOff>
          <xdr:row>39</xdr:row>
          <xdr:rowOff>160020</xdr:rowOff>
        </xdr:from>
        <xdr:to>
          <xdr:col>6</xdr:col>
          <xdr:colOff>482600</xdr:colOff>
          <xdr:row>40</xdr:row>
          <xdr:rowOff>266700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276860</xdr:colOff>
          <xdr:row>58</xdr:row>
          <xdr:rowOff>28679</xdr:rowOff>
        </xdr:from>
        <xdr:to>
          <xdr:col>6</xdr:col>
          <xdr:colOff>482600</xdr:colOff>
          <xdr:row>68</xdr:row>
          <xdr:rowOff>103253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518160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518160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30" t="str">
        <f>"AMOUNT OF FRUIT CONFISCATED AT " &amp; Location &amp; " (kg)"</f>
        <v>AMOUNT OF FRUIT CONFISCATED AT PINNAROO (kg)</v>
      </c>
      <c r="C2" s="331"/>
      <c r="D2" s="331"/>
      <c r="E2" s="331"/>
      <c r="F2" s="331"/>
      <c r="G2" s="331"/>
      <c r="H2" s="331"/>
      <c r="I2" s="331"/>
      <c r="J2" s="332"/>
      <c r="K2" s="332"/>
      <c r="L2" s="333"/>
    </row>
    <row r="3" spans="2:13" ht="16.2" thickBot="1" x14ac:dyDescent="0.35">
      <c r="B3" s="334" t="str">
        <f>Month &amp;  " " &amp; Year</f>
        <v>August 2017</v>
      </c>
      <c r="C3" s="335"/>
      <c r="D3" s="335"/>
      <c r="E3" s="335"/>
      <c r="F3" s="335"/>
      <c r="G3" s="335"/>
      <c r="H3" s="335"/>
      <c r="I3" s="335"/>
      <c r="J3" s="336"/>
      <c r="K3" s="336"/>
      <c r="L3" s="337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38" t="str">
        <f>"COMMERCIAL VEHICLES PASSING THROUGH " &amp; Location</f>
        <v>COMMERCIAL VEHICLES PASSING THROUGH PINNAROO</v>
      </c>
      <c r="C2" s="339"/>
      <c r="D2" s="339"/>
      <c r="E2" s="339"/>
      <c r="F2" s="339"/>
      <c r="G2" s="339"/>
      <c r="H2" s="339"/>
      <c r="I2" s="340"/>
    </row>
    <row r="3" spans="2:9" ht="22.95" customHeight="1" thickBot="1" x14ac:dyDescent="0.3">
      <c r="B3" s="341" t="str">
        <f>Month &amp; " " &amp; Year</f>
        <v>August 2017</v>
      </c>
      <c r="C3" s="342"/>
      <c r="D3" s="342"/>
      <c r="E3" s="342"/>
      <c r="F3" s="342"/>
      <c r="G3" s="342"/>
      <c r="H3" s="342"/>
      <c r="I3" s="343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44" t="str">
        <f xml:space="preserve"> "CARS PASSING THROUGH " &amp; Location</f>
        <v>CARS PASSING THROUGH PINNAROO</v>
      </c>
      <c r="C2" s="345"/>
      <c r="D2" s="345"/>
      <c r="E2" s="345"/>
      <c r="F2" s="345"/>
      <c r="G2" s="345"/>
      <c r="H2" s="345"/>
      <c r="I2" s="346"/>
    </row>
    <row r="3" spans="2:9" ht="18" thickBot="1" x14ac:dyDescent="0.3">
      <c r="B3" s="347" t="str">
        <f>Month &amp; " " &amp; Year</f>
        <v>August 2017</v>
      </c>
      <c r="C3" s="348"/>
      <c r="D3" s="348"/>
      <c r="E3" s="348"/>
      <c r="F3" s="348"/>
      <c r="G3" s="348"/>
      <c r="H3" s="348"/>
      <c r="I3" s="34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47" t="e">
        <f>#REF!&amp; " " &amp;#REF!</f>
        <v>#REF!</v>
      </c>
      <c r="B2" s="348"/>
      <c r="C2" s="348"/>
      <c r="D2" s="348"/>
      <c r="E2" s="348"/>
      <c r="F2" s="348"/>
      <c r="G2" s="348"/>
      <c r="H2" s="349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44" t="str">
        <f xml:space="preserve"> "CARAVANS &amp; CAMPERS PASSING THROUGH " &amp; Location</f>
        <v>CARAVANS &amp; CAMPERS PASSING THROUGH PINNAROO</v>
      </c>
      <c r="C2" s="345"/>
      <c r="D2" s="345"/>
      <c r="E2" s="345"/>
      <c r="F2" s="345"/>
      <c r="G2" s="345"/>
      <c r="H2" s="345"/>
      <c r="I2" s="346"/>
    </row>
    <row r="3" spans="2:9" ht="18" thickBot="1" x14ac:dyDescent="0.3">
      <c r="B3" s="347" t="str">
        <f>Month &amp; " " &amp; Year</f>
        <v>August 2017</v>
      </c>
      <c r="C3" s="348"/>
      <c r="D3" s="348"/>
      <c r="E3" s="348"/>
      <c r="F3" s="348"/>
      <c r="G3" s="348"/>
      <c r="H3" s="348"/>
      <c r="I3" s="34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44" t="str">
        <f>"VEHICLES PASSING THROUGH " &amp; Location &amp; " - MIDNIGHT SHIFT "</f>
        <v xml:space="preserve">VEHICLES PASSING THROUGH PINNAROO - MIDNIGHT SHIFT 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50"/>
    </row>
    <row r="3" spans="2:14" ht="16.2" thickBot="1" x14ac:dyDescent="0.3">
      <c r="B3" s="341" t="str">
        <f>Month &amp; " " &amp; Year</f>
        <v>August 2017</v>
      </c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3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113</v>
      </c>
      <c r="J4" s="198" t="s">
        <v>112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21">
        <v>0</v>
      </c>
      <c r="I5" s="326">
        <f t="shared" ref="I5:I35" si="0">SUM(C5:H5)</f>
        <v>0</v>
      </c>
      <c r="J5" s="324">
        <v>0</v>
      </c>
      <c r="K5" s="41">
        <v>0</v>
      </c>
      <c r="L5" s="41">
        <v>0</v>
      </c>
      <c r="M5" s="324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2">
        <v>0</v>
      </c>
      <c r="I6" s="327">
        <f t="shared" si="0"/>
        <v>0</v>
      </c>
      <c r="J6" s="325">
        <v>0</v>
      </c>
      <c r="K6" s="44">
        <v>0</v>
      </c>
      <c r="L6" s="320">
        <v>0</v>
      </c>
      <c r="M6" s="325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2">
        <v>0</v>
      </c>
      <c r="I7" s="327">
        <f t="shared" si="0"/>
        <v>0</v>
      </c>
      <c r="J7" s="325">
        <v>0</v>
      </c>
      <c r="K7" s="44">
        <v>0</v>
      </c>
      <c r="L7" s="320">
        <v>0</v>
      </c>
      <c r="M7" s="325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2">
        <v>0</v>
      </c>
      <c r="I8" s="327">
        <f t="shared" si="0"/>
        <v>0</v>
      </c>
      <c r="J8" s="325">
        <v>0</v>
      </c>
      <c r="K8" s="44">
        <v>0</v>
      </c>
      <c r="L8" s="320">
        <v>0</v>
      </c>
      <c r="M8" s="325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2">
        <v>0</v>
      </c>
      <c r="I9" s="327">
        <f t="shared" si="0"/>
        <v>0</v>
      </c>
      <c r="J9" s="325">
        <v>0</v>
      </c>
      <c r="K9" s="44">
        <v>0</v>
      </c>
      <c r="L9" s="320">
        <v>0</v>
      </c>
      <c r="M9" s="325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2">
        <v>0</v>
      </c>
      <c r="I10" s="327">
        <f t="shared" si="0"/>
        <v>0</v>
      </c>
      <c r="J10" s="325">
        <v>0</v>
      </c>
      <c r="K10" s="44">
        <v>0</v>
      </c>
      <c r="L10" s="320">
        <v>0</v>
      </c>
      <c r="M10" s="325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2">
        <v>0</v>
      </c>
      <c r="I11" s="327">
        <f t="shared" si="0"/>
        <v>0</v>
      </c>
      <c r="J11" s="325">
        <v>0</v>
      </c>
      <c r="K11" s="44">
        <v>0</v>
      </c>
      <c r="L11" s="320">
        <v>0</v>
      </c>
      <c r="M11" s="325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2">
        <v>0</v>
      </c>
      <c r="I12" s="327">
        <f t="shared" si="0"/>
        <v>0</v>
      </c>
      <c r="J12" s="325">
        <v>0</v>
      </c>
      <c r="K12" s="44">
        <v>0</v>
      </c>
      <c r="L12" s="320">
        <v>0</v>
      </c>
      <c r="M12" s="325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2">
        <v>0</v>
      </c>
      <c r="I13" s="327">
        <f t="shared" si="0"/>
        <v>0</v>
      </c>
      <c r="J13" s="325">
        <v>0</v>
      </c>
      <c r="K13" s="44">
        <v>0</v>
      </c>
      <c r="L13" s="320">
        <v>0</v>
      </c>
      <c r="M13" s="325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2">
        <v>0</v>
      </c>
      <c r="I14" s="327">
        <f t="shared" si="0"/>
        <v>0</v>
      </c>
      <c r="J14" s="325">
        <v>0</v>
      </c>
      <c r="K14" s="44">
        <v>0</v>
      </c>
      <c r="L14" s="320">
        <v>0</v>
      </c>
      <c r="M14" s="325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2">
        <v>0</v>
      </c>
      <c r="I15" s="327">
        <f t="shared" si="0"/>
        <v>0</v>
      </c>
      <c r="J15" s="325">
        <v>0</v>
      </c>
      <c r="K15" s="44">
        <v>0</v>
      </c>
      <c r="L15" s="320">
        <v>0</v>
      </c>
      <c r="M15" s="325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2">
        <v>0</v>
      </c>
      <c r="I16" s="327">
        <f t="shared" si="0"/>
        <v>0</v>
      </c>
      <c r="J16" s="325">
        <v>0</v>
      </c>
      <c r="K16" s="44">
        <v>0</v>
      </c>
      <c r="L16" s="320">
        <v>0</v>
      </c>
      <c r="M16" s="325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2">
        <v>0</v>
      </c>
      <c r="I17" s="327">
        <f t="shared" si="0"/>
        <v>0</v>
      </c>
      <c r="J17" s="325">
        <v>0</v>
      </c>
      <c r="K17" s="44">
        <v>0</v>
      </c>
      <c r="L17" s="320">
        <v>0</v>
      </c>
      <c r="M17" s="325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2">
        <v>0</v>
      </c>
      <c r="I18" s="327">
        <f t="shared" si="0"/>
        <v>0</v>
      </c>
      <c r="J18" s="325">
        <v>0</v>
      </c>
      <c r="K18" s="44">
        <v>0</v>
      </c>
      <c r="L18" s="320">
        <v>0</v>
      </c>
      <c r="M18" s="325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2">
        <v>0</v>
      </c>
      <c r="I19" s="327">
        <f t="shared" si="0"/>
        <v>0</v>
      </c>
      <c r="J19" s="325">
        <v>0</v>
      </c>
      <c r="K19" s="44">
        <v>0</v>
      </c>
      <c r="L19" s="320">
        <v>0</v>
      </c>
      <c r="M19" s="325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2">
        <v>0</v>
      </c>
      <c r="I20" s="327">
        <f t="shared" si="0"/>
        <v>0</v>
      </c>
      <c r="J20" s="325">
        <v>0</v>
      </c>
      <c r="K20" s="44">
        <v>0</v>
      </c>
      <c r="L20" s="320">
        <v>0</v>
      </c>
      <c r="M20" s="325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2">
        <v>0</v>
      </c>
      <c r="I21" s="327">
        <f t="shared" si="0"/>
        <v>0</v>
      </c>
      <c r="J21" s="325">
        <v>0</v>
      </c>
      <c r="K21" s="44">
        <v>0</v>
      </c>
      <c r="L21" s="320">
        <v>0</v>
      </c>
      <c r="M21" s="325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2">
        <v>0</v>
      </c>
      <c r="I22" s="327">
        <f t="shared" si="0"/>
        <v>0</v>
      </c>
      <c r="J22" s="325">
        <v>0</v>
      </c>
      <c r="K22" s="44">
        <v>0</v>
      </c>
      <c r="L22" s="320">
        <v>0</v>
      </c>
      <c r="M22" s="325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2">
        <v>0</v>
      </c>
      <c r="I23" s="327">
        <f t="shared" si="0"/>
        <v>0</v>
      </c>
      <c r="J23" s="325">
        <v>0</v>
      </c>
      <c r="K23" s="44">
        <v>0</v>
      </c>
      <c r="L23" s="320">
        <v>0</v>
      </c>
      <c r="M23" s="325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2">
        <v>0</v>
      </c>
      <c r="I24" s="327">
        <f t="shared" si="0"/>
        <v>0</v>
      </c>
      <c r="J24" s="325">
        <v>0</v>
      </c>
      <c r="K24" s="44">
        <v>0</v>
      </c>
      <c r="L24" s="320">
        <v>0</v>
      </c>
      <c r="M24" s="325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2">
        <v>0</v>
      </c>
      <c r="I25" s="327">
        <f t="shared" si="0"/>
        <v>0</v>
      </c>
      <c r="J25" s="325">
        <v>0</v>
      </c>
      <c r="K25" s="44">
        <v>0</v>
      </c>
      <c r="L25" s="320">
        <v>0</v>
      </c>
      <c r="M25" s="325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2">
        <v>0</v>
      </c>
      <c r="I26" s="327">
        <f t="shared" si="0"/>
        <v>0</v>
      </c>
      <c r="J26" s="325">
        <v>0</v>
      </c>
      <c r="K26" s="44">
        <v>0</v>
      </c>
      <c r="L26" s="320">
        <v>0</v>
      </c>
      <c r="M26" s="325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2">
        <v>0</v>
      </c>
      <c r="I27" s="327">
        <f t="shared" si="0"/>
        <v>0</v>
      </c>
      <c r="J27" s="325">
        <v>0</v>
      </c>
      <c r="K27" s="44">
        <v>0</v>
      </c>
      <c r="L27" s="320">
        <v>0</v>
      </c>
      <c r="M27" s="325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2">
        <v>0</v>
      </c>
      <c r="I28" s="327">
        <f t="shared" si="0"/>
        <v>0</v>
      </c>
      <c r="J28" s="325">
        <v>0</v>
      </c>
      <c r="K28" s="44">
        <v>0</v>
      </c>
      <c r="L28" s="320">
        <v>0</v>
      </c>
      <c r="M28" s="325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2">
        <v>0</v>
      </c>
      <c r="I29" s="327">
        <f t="shared" si="0"/>
        <v>0</v>
      </c>
      <c r="J29" s="325">
        <v>0</v>
      </c>
      <c r="K29" s="44">
        <v>0</v>
      </c>
      <c r="L29" s="320">
        <v>0</v>
      </c>
      <c r="M29" s="325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2">
        <v>0</v>
      </c>
      <c r="I30" s="327">
        <f t="shared" si="0"/>
        <v>0</v>
      </c>
      <c r="J30" s="325">
        <v>0</v>
      </c>
      <c r="K30" s="44">
        <v>0</v>
      </c>
      <c r="L30" s="320">
        <v>0</v>
      </c>
      <c r="M30" s="325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2">
        <v>0</v>
      </c>
      <c r="I31" s="327">
        <f t="shared" si="0"/>
        <v>0</v>
      </c>
      <c r="J31" s="325">
        <v>0</v>
      </c>
      <c r="K31" s="44">
        <v>0</v>
      </c>
      <c r="L31" s="320">
        <v>0</v>
      </c>
      <c r="M31" s="325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2">
        <v>0</v>
      </c>
      <c r="I32" s="327">
        <f t="shared" si="0"/>
        <v>0</v>
      </c>
      <c r="J32" s="325">
        <v>0</v>
      </c>
      <c r="K32" s="44">
        <v>0</v>
      </c>
      <c r="L32" s="320">
        <v>0</v>
      </c>
      <c r="M32" s="325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2">
        <v>0</v>
      </c>
      <c r="I33" s="327">
        <f t="shared" si="0"/>
        <v>0</v>
      </c>
      <c r="J33" s="325">
        <v>0</v>
      </c>
      <c r="K33" s="44">
        <v>0</v>
      </c>
      <c r="L33" s="320">
        <v>0</v>
      </c>
      <c r="M33" s="325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2">
        <v>0</v>
      </c>
      <c r="I34" s="327">
        <f t="shared" si="0"/>
        <v>0</v>
      </c>
      <c r="J34" s="325">
        <v>0</v>
      </c>
      <c r="K34" s="44">
        <v>0</v>
      </c>
      <c r="L34" s="320">
        <v>0</v>
      </c>
      <c r="M34" s="325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3">
        <v>0</v>
      </c>
      <c r="I35" s="328">
        <f t="shared" si="0"/>
        <v>0</v>
      </c>
      <c r="J35" s="325">
        <v>0</v>
      </c>
      <c r="K35" s="46">
        <v>0</v>
      </c>
      <c r="L35" s="46">
        <v>0</v>
      </c>
      <c r="M35" s="329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4" max="4" width="16" customWidth="1"/>
    <col min="5" max="9" width="14.6640625" customWidth="1"/>
  </cols>
  <sheetData>
    <row r="2" spans="4:9" ht="13.8" thickBot="1" x14ac:dyDescent="0.3"/>
    <row r="3" spans="4:9" ht="42.75" customHeight="1" thickBot="1" x14ac:dyDescent="0.3">
      <c r="D3" s="351" t="str">
        <f>Location&amp;" - Traffic Volumes per Shift - "&amp; Month &amp; " " &amp; Year</f>
        <v>PINNAROO - Traffic Volumes per Shift - August 2017</v>
      </c>
      <c r="E3" s="352"/>
      <c r="F3" s="353"/>
      <c r="G3" s="353"/>
      <c r="H3" s="353"/>
      <c r="I3" s="354"/>
    </row>
    <row r="4" spans="4:9" ht="18" thickBot="1" x14ac:dyDescent="0.3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</row>
    <row r="5" spans="4:9" ht="15" x14ac:dyDescent="0.25">
      <c r="D5" s="277">
        <f>DATE(Year,MONTH(1&amp;Month),1)</f>
        <v>42948</v>
      </c>
      <c r="E5" s="280">
        <v>1</v>
      </c>
      <c r="F5" s="285">
        <v>0</v>
      </c>
      <c r="G5" s="286">
        <v>0</v>
      </c>
      <c r="H5" s="287">
        <v>0</v>
      </c>
      <c r="I5" s="282">
        <f>SUM(F5:H5)</f>
        <v>0</v>
      </c>
    </row>
    <row r="6" spans="4:9" ht="15" x14ac:dyDescent="0.25">
      <c r="D6" s="278">
        <f>D5+1</f>
        <v>42949</v>
      </c>
      <c r="E6" s="281">
        <v>2</v>
      </c>
      <c r="F6" s="288">
        <v>0</v>
      </c>
      <c r="G6" s="271">
        <v>0</v>
      </c>
      <c r="H6" s="289">
        <v>0</v>
      </c>
      <c r="I6" s="283">
        <f t="shared" ref="I6:I35" si="0">SUM(F6:H6)</f>
        <v>0</v>
      </c>
    </row>
    <row r="7" spans="4:9" ht="15" x14ac:dyDescent="0.25">
      <c r="D7" s="278">
        <f>D6+1</f>
        <v>42950</v>
      </c>
      <c r="E7" s="281">
        <v>3</v>
      </c>
      <c r="F7" s="288">
        <v>0</v>
      </c>
      <c r="G7" s="271">
        <v>0</v>
      </c>
      <c r="H7" s="289">
        <v>0</v>
      </c>
      <c r="I7" s="283">
        <f t="shared" si="0"/>
        <v>0</v>
      </c>
    </row>
    <row r="8" spans="4:9" ht="15" x14ac:dyDescent="0.25">
      <c r="D8" s="278">
        <f t="shared" ref="D8:D35" si="1">D7+1</f>
        <v>42951</v>
      </c>
      <c r="E8" s="281">
        <v>4</v>
      </c>
      <c r="F8" s="288">
        <v>0</v>
      </c>
      <c r="G8" s="271">
        <v>0</v>
      </c>
      <c r="H8" s="289">
        <v>0</v>
      </c>
      <c r="I8" s="283">
        <f t="shared" si="0"/>
        <v>0</v>
      </c>
    </row>
    <row r="9" spans="4:9" ht="15" x14ac:dyDescent="0.25">
      <c r="D9" s="278">
        <f t="shared" si="1"/>
        <v>42952</v>
      </c>
      <c r="E9" s="281">
        <v>5</v>
      </c>
      <c r="F9" s="288">
        <v>0</v>
      </c>
      <c r="G9" s="271">
        <v>0</v>
      </c>
      <c r="H9" s="289">
        <v>0</v>
      </c>
      <c r="I9" s="283">
        <f t="shared" si="0"/>
        <v>0</v>
      </c>
    </row>
    <row r="10" spans="4:9" ht="15" x14ac:dyDescent="0.25">
      <c r="D10" s="278">
        <f t="shared" si="1"/>
        <v>42953</v>
      </c>
      <c r="E10" s="281">
        <v>6</v>
      </c>
      <c r="F10" s="288">
        <v>0</v>
      </c>
      <c r="G10" s="271">
        <v>0</v>
      </c>
      <c r="H10" s="289">
        <v>0</v>
      </c>
      <c r="I10" s="283">
        <f t="shared" si="0"/>
        <v>0</v>
      </c>
    </row>
    <row r="11" spans="4:9" ht="15" x14ac:dyDescent="0.25">
      <c r="D11" s="278">
        <f t="shared" si="1"/>
        <v>42954</v>
      </c>
      <c r="E11" s="281">
        <v>7</v>
      </c>
      <c r="F11" s="288">
        <v>0</v>
      </c>
      <c r="G11" s="271">
        <v>0</v>
      </c>
      <c r="H11" s="289">
        <v>0</v>
      </c>
      <c r="I11" s="283">
        <f t="shared" si="0"/>
        <v>0</v>
      </c>
    </row>
    <row r="12" spans="4:9" ht="15" x14ac:dyDescent="0.25">
      <c r="D12" s="278">
        <f t="shared" si="1"/>
        <v>42955</v>
      </c>
      <c r="E12" s="281">
        <v>8</v>
      </c>
      <c r="F12" s="288">
        <v>0</v>
      </c>
      <c r="G12" s="271">
        <v>0</v>
      </c>
      <c r="H12" s="289">
        <v>0</v>
      </c>
      <c r="I12" s="283">
        <f t="shared" si="0"/>
        <v>0</v>
      </c>
    </row>
    <row r="13" spans="4:9" ht="15" x14ac:dyDescent="0.25">
      <c r="D13" s="278">
        <f t="shared" si="1"/>
        <v>42956</v>
      </c>
      <c r="E13" s="281">
        <v>9</v>
      </c>
      <c r="F13" s="288">
        <v>0</v>
      </c>
      <c r="G13" s="271">
        <v>0</v>
      </c>
      <c r="H13" s="289">
        <v>0</v>
      </c>
      <c r="I13" s="283">
        <f t="shared" si="0"/>
        <v>0</v>
      </c>
    </row>
    <row r="14" spans="4:9" ht="15" x14ac:dyDescent="0.25">
      <c r="D14" s="278">
        <f t="shared" si="1"/>
        <v>42957</v>
      </c>
      <c r="E14" s="281">
        <v>10</v>
      </c>
      <c r="F14" s="288">
        <v>0</v>
      </c>
      <c r="G14" s="271">
        <v>0</v>
      </c>
      <c r="H14" s="289">
        <v>0</v>
      </c>
      <c r="I14" s="283">
        <f t="shared" si="0"/>
        <v>0</v>
      </c>
    </row>
    <row r="15" spans="4:9" ht="15" x14ac:dyDescent="0.25">
      <c r="D15" s="278">
        <f t="shared" si="1"/>
        <v>42958</v>
      </c>
      <c r="E15" s="281">
        <v>11</v>
      </c>
      <c r="F15" s="288">
        <v>0</v>
      </c>
      <c r="G15" s="271">
        <v>0</v>
      </c>
      <c r="H15" s="289">
        <v>0</v>
      </c>
      <c r="I15" s="283">
        <f t="shared" si="0"/>
        <v>0</v>
      </c>
    </row>
    <row r="16" spans="4:9" ht="15" x14ac:dyDescent="0.25">
      <c r="D16" s="278">
        <f t="shared" si="1"/>
        <v>42959</v>
      </c>
      <c r="E16" s="281">
        <v>12</v>
      </c>
      <c r="F16" s="288">
        <v>0</v>
      </c>
      <c r="G16" s="271">
        <v>0</v>
      </c>
      <c r="H16" s="289">
        <v>0</v>
      </c>
      <c r="I16" s="283">
        <f t="shared" si="0"/>
        <v>0</v>
      </c>
    </row>
    <row r="17" spans="4:9" ht="15" x14ac:dyDescent="0.25">
      <c r="D17" s="278">
        <f t="shared" si="1"/>
        <v>42960</v>
      </c>
      <c r="E17" s="281">
        <v>13</v>
      </c>
      <c r="F17" s="288">
        <v>0</v>
      </c>
      <c r="G17" s="271">
        <v>0</v>
      </c>
      <c r="H17" s="289">
        <v>0</v>
      </c>
      <c r="I17" s="283">
        <f t="shared" si="0"/>
        <v>0</v>
      </c>
    </row>
    <row r="18" spans="4:9" ht="15" x14ac:dyDescent="0.25">
      <c r="D18" s="278">
        <f t="shared" si="1"/>
        <v>42961</v>
      </c>
      <c r="E18" s="281">
        <v>14</v>
      </c>
      <c r="F18" s="288">
        <v>0</v>
      </c>
      <c r="G18" s="271">
        <v>0</v>
      </c>
      <c r="H18" s="289">
        <v>0</v>
      </c>
      <c r="I18" s="283">
        <f t="shared" si="0"/>
        <v>0</v>
      </c>
    </row>
    <row r="19" spans="4:9" ht="15" x14ac:dyDescent="0.25">
      <c r="D19" s="278">
        <f t="shared" si="1"/>
        <v>42962</v>
      </c>
      <c r="E19" s="281">
        <v>15</v>
      </c>
      <c r="F19" s="288">
        <v>0</v>
      </c>
      <c r="G19" s="271">
        <v>0</v>
      </c>
      <c r="H19" s="289">
        <v>0</v>
      </c>
      <c r="I19" s="283">
        <f t="shared" si="0"/>
        <v>0</v>
      </c>
    </row>
    <row r="20" spans="4:9" ht="15" x14ac:dyDescent="0.25">
      <c r="D20" s="278">
        <f t="shared" si="1"/>
        <v>42963</v>
      </c>
      <c r="E20" s="281">
        <v>16</v>
      </c>
      <c r="F20" s="288">
        <v>0</v>
      </c>
      <c r="G20" s="271">
        <v>0</v>
      </c>
      <c r="H20" s="289">
        <v>0</v>
      </c>
      <c r="I20" s="283">
        <f t="shared" si="0"/>
        <v>0</v>
      </c>
    </row>
    <row r="21" spans="4:9" ht="15" x14ac:dyDescent="0.25">
      <c r="D21" s="278">
        <f t="shared" si="1"/>
        <v>42964</v>
      </c>
      <c r="E21" s="281">
        <v>17</v>
      </c>
      <c r="F21" s="288">
        <v>0</v>
      </c>
      <c r="G21" s="271">
        <v>0</v>
      </c>
      <c r="H21" s="289">
        <v>0</v>
      </c>
      <c r="I21" s="283">
        <f t="shared" si="0"/>
        <v>0</v>
      </c>
    </row>
    <row r="22" spans="4:9" ht="15" x14ac:dyDescent="0.25">
      <c r="D22" s="278">
        <f t="shared" si="1"/>
        <v>42965</v>
      </c>
      <c r="E22" s="281">
        <v>18</v>
      </c>
      <c r="F22" s="288">
        <v>0</v>
      </c>
      <c r="G22" s="271">
        <v>0</v>
      </c>
      <c r="H22" s="289">
        <v>0</v>
      </c>
      <c r="I22" s="283">
        <f t="shared" si="0"/>
        <v>0</v>
      </c>
    </row>
    <row r="23" spans="4:9" ht="15" x14ac:dyDescent="0.25">
      <c r="D23" s="278">
        <f t="shared" si="1"/>
        <v>42966</v>
      </c>
      <c r="E23" s="281">
        <v>19</v>
      </c>
      <c r="F23" s="288">
        <v>0</v>
      </c>
      <c r="G23" s="271">
        <v>0</v>
      </c>
      <c r="H23" s="289">
        <v>0</v>
      </c>
      <c r="I23" s="283">
        <f t="shared" si="0"/>
        <v>0</v>
      </c>
    </row>
    <row r="24" spans="4:9" ht="15" x14ac:dyDescent="0.25">
      <c r="D24" s="278">
        <f t="shared" si="1"/>
        <v>42967</v>
      </c>
      <c r="E24" s="281">
        <v>20</v>
      </c>
      <c r="F24" s="288">
        <v>0</v>
      </c>
      <c r="G24" s="271">
        <v>0</v>
      </c>
      <c r="H24" s="289">
        <v>0</v>
      </c>
      <c r="I24" s="283">
        <f t="shared" si="0"/>
        <v>0</v>
      </c>
    </row>
    <row r="25" spans="4:9" ht="15" x14ac:dyDescent="0.25">
      <c r="D25" s="278">
        <f t="shared" si="1"/>
        <v>42968</v>
      </c>
      <c r="E25" s="281">
        <v>21</v>
      </c>
      <c r="F25" s="288">
        <v>0</v>
      </c>
      <c r="G25" s="271">
        <v>0</v>
      </c>
      <c r="H25" s="289">
        <v>0</v>
      </c>
      <c r="I25" s="283">
        <f t="shared" si="0"/>
        <v>0</v>
      </c>
    </row>
    <row r="26" spans="4:9" ht="15" x14ac:dyDescent="0.25">
      <c r="D26" s="278">
        <f t="shared" si="1"/>
        <v>42969</v>
      </c>
      <c r="E26" s="281">
        <v>22</v>
      </c>
      <c r="F26" s="288">
        <v>0</v>
      </c>
      <c r="G26" s="271">
        <v>0</v>
      </c>
      <c r="H26" s="289">
        <v>0</v>
      </c>
      <c r="I26" s="283">
        <f t="shared" si="0"/>
        <v>0</v>
      </c>
    </row>
    <row r="27" spans="4:9" ht="15" x14ac:dyDescent="0.25">
      <c r="D27" s="278">
        <f t="shared" si="1"/>
        <v>42970</v>
      </c>
      <c r="E27" s="281">
        <v>23</v>
      </c>
      <c r="F27" s="288">
        <v>0</v>
      </c>
      <c r="G27" s="271">
        <v>0</v>
      </c>
      <c r="H27" s="289">
        <v>0</v>
      </c>
      <c r="I27" s="283">
        <f t="shared" si="0"/>
        <v>0</v>
      </c>
    </row>
    <row r="28" spans="4:9" ht="15" x14ac:dyDescent="0.25">
      <c r="D28" s="278">
        <f t="shared" si="1"/>
        <v>42971</v>
      </c>
      <c r="E28" s="281">
        <v>24</v>
      </c>
      <c r="F28" s="288">
        <v>0</v>
      </c>
      <c r="G28" s="271">
        <v>0</v>
      </c>
      <c r="H28" s="289">
        <v>0</v>
      </c>
      <c r="I28" s="283">
        <f t="shared" si="0"/>
        <v>0</v>
      </c>
    </row>
    <row r="29" spans="4:9" ht="15" x14ac:dyDescent="0.25">
      <c r="D29" s="278">
        <f t="shared" si="1"/>
        <v>42972</v>
      </c>
      <c r="E29" s="281">
        <v>25</v>
      </c>
      <c r="F29" s="288">
        <v>0</v>
      </c>
      <c r="G29" s="271">
        <v>0</v>
      </c>
      <c r="H29" s="289">
        <v>0</v>
      </c>
      <c r="I29" s="283">
        <f t="shared" si="0"/>
        <v>0</v>
      </c>
    </row>
    <row r="30" spans="4:9" ht="15" x14ac:dyDescent="0.25">
      <c r="D30" s="278">
        <f t="shared" si="1"/>
        <v>42973</v>
      </c>
      <c r="E30" s="281">
        <v>26</v>
      </c>
      <c r="F30" s="288">
        <v>0</v>
      </c>
      <c r="G30" s="271">
        <v>0</v>
      </c>
      <c r="H30" s="289">
        <v>0</v>
      </c>
      <c r="I30" s="283">
        <f t="shared" si="0"/>
        <v>0</v>
      </c>
    </row>
    <row r="31" spans="4:9" ht="15" x14ac:dyDescent="0.25">
      <c r="D31" s="278">
        <f t="shared" si="1"/>
        <v>42974</v>
      </c>
      <c r="E31" s="281">
        <v>27</v>
      </c>
      <c r="F31" s="288">
        <v>0</v>
      </c>
      <c r="G31" s="271">
        <v>0</v>
      </c>
      <c r="H31" s="289">
        <v>0</v>
      </c>
      <c r="I31" s="283">
        <f t="shared" si="0"/>
        <v>0</v>
      </c>
    </row>
    <row r="32" spans="4:9" ht="15" x14ac:dyDescent="0.25">
      <c r="D32" s="278">
        <f t="shared" si="1"/>
        <v>42975</v>
      </c>
      <c r="E32" s="281">
        <v>28</v>
      </c>
      <c r="F32" s="288">
        <v>0</v>
      </c>
      <c r="G32" s="271">
        <v>0</v>
      </c>
      <c r="H32" s="289">
        <v>0</v>
      </c>
      <c r="I32" s="283">
        <f t="shared" si="0"/>
        <v>0</v>
      </c>
    </row>
    <row r="33" spans="4:9" ht="15" x14ac:dyDescent="0.25">
      <c r="D33" s="278">
        <f t="shared" si="1"/>
        <v>42976</v>
      </c>
      <c r="E33" s="281">
        <v>29</v>
      </c>
      <c r="F33" s="288">
        <v>0</v>
      </c>
      <c r="G33" s="271">
        <v>0</v>
      </c>
      <c r="H33" s="289">
        <v>0</v>
      </c>
      <c r="I33" s="283">
        <f t="shared" si="0"/>
        <v>0</v>
      </c>
    </row>
    <row r="34" spans="4:9" ht="15" x14ac:dyDescent="0.25">
      <c r="D34" s="278">
        <f t="shared" si="1"/>
        <v>42977</v>
      </c>
      <c r="E34" s="281">
        <v>30</v>
      </c>
      <c r="F34" s="288">
        <v>0</v>
      </c>
      <c r="G34" s="271">
        <v>0</v>
      </c>
      <c r="H34" s="289">
        <v>0</v>
      </c>
      <c r="I34" s="283">
        <f t="shared" si="0"/>
        <v>0</v>
      </c>
    </row>
    <row r="35" spans="4:9" ht="15.6" thickBot="1" x14ac:dyDescent="0.3">
      <c r="D35" s="279">
        <f t="shared" si="1"/>
        <v>42978</v>
      </c>
      <c r="E35" s="290">
        <v>31</v>
      </c>
      <c r="F35" s="291">
        <v>0</v>
      </c>
      <c r="G35" s="272">
        <v>0</v>
      </c>
      <c r="H35" s="292">
        <v>0</v>
      </c>
      <c r="I35" s="284">
        <f t="shared" si="0"/>
        <v>0</v>
      </c>
    </row>
    <row r="36" spans="4:9" ht="16.2" thickBot="1" x14ac:dyDescent="0.35">
      <c r="D36" s="297"/>
      <c r="E36" s="298" t="s">
        <v>102</v>
      </c>
      <c r="F36" s="293">
        <f>SUM(F5:F35)</f>
        <v>0</v>
      </c>
      <c r="G36" s="294">
        <f t="shared" ref="G36:I36" si="2">SUM(G5:G35)</f>
        <v>0</v>
      </c>
      <c r="H36" s="295">
        <f t="shared" si="2"/>
        <v>0</v>
      </c>
      <c r="I36" s="296">
        <f t="shared" si="2"/>
        <v>0</v>
      </c>
    </row>
    <row r="37" spans="4:9" x14ac:dyDescent="0.25">
      <c r="D37" s="270"/>
      <c r="E37" s="270"/>
    </row>
    <row r="38" spans="4:9" x14ac:dyDescent="0.25">
      <c r="D38" s="270"/>
      <c r="E38" s="270"/>
    </row>
    <row r="39" spans="4:9" x14ac:dyDescent="0.25">
      <c r="D39" s="270"/>
      <c r="E39" s="270"/>
    </row>
    <row r="40" spans="4:9" x14ac:dyDescent="0.25">
      <c r="D40" s="270"/>
      <c r="E40" s="270"/>
    </row>
    <row r="41" spans="4:9" x14ac:dyDescent="0.25">
      <c r="D41" s="270"/>
      <c r="E41" s="270"/>
    </row>
    <row r="42" spans="4:9" x14ac:dyDescent="0.25">
      <c r="D42" s="270"/>
      <c r="E42" s="270"/>
    </row>
    <row r="43" spans="4:9" x14ac:dyDescent="0.25">
      <c r="D43" s="270"/>
      <c r="E43" s="270"/>
    </row>
    <row r="44" spans="4:9" x14ac:dyDescent="0.25">
      <c r="D44" s="270"/>
      <c r="E44" s="270"/>
    </row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55" t="str">
        <f xml:space="preserve"> "VEHICLES WITH FRUIT PASSING THROUGH " &amp; Location</f>
        <v>VEHICLES WITH FRUIT PASSING THROUGH PINNAROO</v>
      </c>
      <c r="D2" s="356"/>
      <c r="E2" s="356"/>
      <c r="F2" s="356"/>
      <c r="G2" s="356"/>
      <c r="H2" s="356"/>
      <c r="I2" s="356"/>
      <c r="J2" s="357"/>
    </row>
    <row r="3" spans="3:10" ht="16.2" thickBot="1" x14ac:dyDescent="0.3">
      <c r="C3" s="358" t="str">
        <f>Month &amp; " " &amp; Year</f>
        <v>August 2017</v>
      </c>
      <c r="D3" s="359"/>
      <c r="E3" s="359"/>
      <c r="F3" s="359"/>
      <c r="G3" s="359"/>
      <c r="H3" s="359"/>
      <c r="I3" s="359"/>
      <c r="J3" s="360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PINNAROO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18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12" t="s">
        <v>110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18"/>
    </row>
    <row r="11" spans="3:9" ht="15.6" thickBot="1" x14ac:dyDescent="0.3">
      <c r="C11" s="103"/>
      <c r="D11" s="104"/>
      <c r="E11" s="104"/>
      <c r="F11" s="104"/>
      <c r="G11" s="105" t="s">
        <v>39</v>
      </c>
      <c r="H11" s="318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9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61" t="s">
        <v>86</v>
      </c>
      <c r="D22" s="362"/>
      <c r="E22" s="362"/>
      <c r="F22" s="362"/>
      <c r="G22" s="363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PINNAROO Roadblock, Stock Totals - August, 2017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PINNAROO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August, 2017 -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PrevTotalVehicles+PrevTotalCaravans</f>
        <v>0</v>
      </c>
    </row>
    <row r="13" spans="3:13" ht="15.6" thickBot="1" x14ac:dyDescent="0.3">
      <c r="G13" s="84"/>
      <c r="H13" s="313"/>
      <c r="K13" s="84"/>
      <c r="L13" s="313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13"/>
      <c r="K15" s="84"/>
      <c r="L15" s="313"/>
    </row>
    <row r="16" spans="3:13" ht="15.6" thickBot="1" x14ac:dyDescent="0.3">
      <c r="G16" s="84" t="s">
        <v>111</v>
      </c>
      <c r="H16" s="264">
        <f>TotalCaravans</f>
        <v>0</v>
      </c>
      <c r="K16" s="84" t="s">
        <v>29</v>
      </c>
      <c r="L16" s="264">
        <f>PrevTotalCaravans</f>
        <v>0</v>
      </c>
    </row>
    <row r="17" spans="3:13" ht="15.6" thickBot="1" x14ac:dyDescent="0.3">
      <c r="G17" s="84"/>
      <c r="H17" s="314"/>
      <c r="K17" s="85"/>
      <c r="L17" s="315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14"/>
      <c r="K19" s="85"/>
      <c r="L19" s="315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14"/>
      <c r="K21" s="85"/>
      <c r="L21" s="315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17">
        <f>PrevSheep + Sheep</f>
        <v>0</v>
      </c>
    </row>
    <row r="36" spans="3:13" ht="8.4" customHeight="1" thickBot="1" x14ac:dyDescent="0.3">
      <c r="E36" s="84"/>
      <c r="F36" s="314"/>
      <c r="K36" s="85"/>
      <c r="L36" s="314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17">
        <f>PrevCattle + Cattle</f>
        <v>0</v>
      </c>
    </row>
    <row r="38" spans="3:13" ht="8.4" customHeight="1" thickBot="1" x14ac:dyDescent="0.3">
      <c r="E38" s="84"/>
      <c r="F38" s="314"/>
      <c r="K38" s="85"/>
      <c r="L38" s="314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17">
        <f>PrevPigs + Pigs</f>
        <v>0</v>
      </c>
    </row>
    <row r="40" spans="3:13" ht="8.4" customHeight="1" thickBot="1" x14ac:dyDescent="0.3">
      <c r="E40" s="84"/>
      <c r="F40" s="314"/>
      <c r="K40" s="85"/>
      <c r="L40" s="314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17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16">
        <v>0</v>
      </c>
      <c r="G47" s="96"/>
      <c r="H47" s="96"/>
      <c r="I47" s="96"/>
      <c r="J47" s="96"/>
      <c r="K47" s="84" t="s">
        <v>29</v>
      </c>
      <c r="L47" s="317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9"/>
      <c r="D49" s="299"/>
      <c r="E49" s="300"/>
      <c r="F49" s="299"/>
      <c r="G49" s="299"/>
      <c r="H49" s="299"/>
      <c r="I49" s="299"/>
      <c r="J49" s="299"/>
      <c r="K49" s="300"/>
      <c r="L49" s="299"/>
      <c r="M49" s="299"/>
    </row>
    <row r="50" spans="3:13" ht="14.25" customHeight="1" x14ac:dyDescent="0.3">
      <c r="C50" s="96"/>
      <c r="D50" s="96"/>
      <c r="E50" s="250" t="s">
        <v>105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106</v>
      </c>
      <c r="F52" s="249">
        <f>MAX(ShiftStatsTotal)</f>
        <v>0</v>
      </c>
      <c r="G52" s="96"/>
      <c r="H52" s="301" t="s">
        <v>107</v>
      </c>
      <c r="I52" s="249">
        <f>MAX(ShiftStats)</f>
        <v>0</v>
      </c>
      <c r="K52" s="248" t="s">
        <v>108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64"/>
      <c r="E58" s="365"/>
      <c r="F58" s="365"/>
      <c r="G58" s="365"/>
      <c r="H58" s="365"/>
      <c r="I58" s="365"/>
      <c r="J58" s="365"/>
      <c r="K58" s="365"/>
      <c r="L58" s="366"/>
    </row>
    <row r="59" spans="3:13" x14ac:dyDescent="0.25">
      <c r="D59" s="367"/>
      <c r="E59" s="368"/>
      <c r="F59" s="368"/>
      <c r="G59" s="368"/>
      <c r="H59" s="368"/>
      <c r="I59" s="368"/>
      <c r="J59" s="368"/>
      <c r="K59" s="368"/>
      <c r="L59" s="369"/>
    </row>
    <row r="60" spans="3:13" x14ac:dyDescent="0.25">
      <c r="D60" s="367"/>
      <c r="E60" s="368"/>
      <c r="F60" s="368"/>
      <c r="G60" s="368"/>
      <c r="H60" s="368"/>
      <c r="I60" s="368"/>
      <c r="J60" s="368"/>
      <c r="K60" s="368"/>
      <c r="L60" s="369"/>
    </row>
    <row r="61" spans="3:13" x14ac:dyDescent="0.25">
      <c r="D61" s="367"/>
      <c r="E61" s="368"/>
      <c r="F61" s="368"/>
      <c r="G61" s="368"/>
      <c r="H61" s="368"/>
      <c r="I61" s="368"/>
      <c r="J61" s="368"/>
      <c r="K61" s="368"/>
      <c r="L61" s="369"/>
    </row>
    <row r="62" spans="3:13" x14ac:dyDescent="0.25">
      <c r="D62" s="367"/>
      <c r="E62" s="368"/>
      <c r="F62" s="368"/>
      <c r="G62" s="368"/>
      <c r="H62" s="368"/>
      <c r="I62" s="368"/>
      <c r="J62" s="368"/>
      <c r="K62" s="368"/>
      <c r="L62" s="369"/>
    </row>
    <row r="63" spans="3:13" x14ac:dyDescent="0.25">
      <c r="D63" s="367"/>
      <c r="E63" s="368"/>
      <c r="F63" s="368"/>
      <c r="G63" s="368"/>
      <c r="H63" s="368"/>
      <c r="I63" s="368"/>
      <c r="J63" s="368"/>
      <c r="K63" s="368"/>
      <c r="L63" s="369"/>
    </row>
    <row r="64" spans="3:13" x14ac:dyDescent="0.25">
      <c r="D64" s="367"/>
      <c r="E64" s="368"/>
      <c r="F64" s="368"/>
      <c r="G64" s="368"/>
      <c r="H64" s="368"/>
      <c r="I64" s="368"/>
      <c r="J64" s="368"/>
      <c r="K64" s="368"/>
      <c r="L64" s="369"/>
    </row>
    <row r="65" spans="3:13" x14ac:dyDescent="0.25">
      <c r="D65" s="367"/>
      <c r="E65" s="368"/>
      <c r="F65" s="368"/>
      <c r="G65" s="368"/>
      <c r="H65" s="368"/>
      <c r="I65" s="368"/>
      <c r="J65" s="368"/>
      <c r="K65" s="368"/>
      <c r="L65" s="369"/>
    </row>
    <row r="66" spans="3:13" x14ac:dyDescent="0.25">
      <c r="D66" s="367"/>
      <c r="E66" s="368"/>
      <c r="F66" s="368"/>
      <c r="G66" s="368"/>
      <c r="H66" s="368"/>
      <c r="I66" s="368"/>
      <c r="J66" s="368"/>
      <c r="K66" s="368"/>
      <c r="L66" s="369"/>
    </row>
    <row r="67" spans="3:13" x14ac:dyDescent="0.25">
      <c r="D67" s="367"/>
      <c r="E67" s="368"/>
      <c r="F67" s="368"/>
      <c r="G67" s="368"/>
      <c r="H67" s="368"/>
      <c r="I67" s="368"/>
      <c r="J67" s="368"/>
      <c r="K67" s="368"/>
      <c r="L67" s="369"/>
    </row>
    <row r="68" spans="3:13" ht="13.8" thickBot="1" x14ac:dyDescent="0.3">
      <c r="D68" s="370"/>
      <c r="E68" s="371"/>
      <c r="F68" s="371"/>
      <c r="G68" s="371"/>
      <c r="H68" s="371"/>
      <c r="I68" s="371"/>
      <c r="J68" s="371"/>
      <c r="K68" s="371"/>
      <c r="L68" s="372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abSelected="1" topLeftCell="A20" zoomScale="189" zoomScaleNormal="100" workbookViewId="0">
      <selection activeCell="E44" sqref="E4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6</v>
      </c>
      <c r="G4" s="216" t="b">
        <v>0</v>
      </c>
    </row>
    <row r="5" spans="1:86" s="215" customFormat="1" ht="21.6" customHeight="1" thickTop="1" thickBot="1" x14ac:dyDescent="0.3">
      <c r="G5" s="302" t="b">
        <v>0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109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377" t="s">
        <v>56</v>
      </c>
      <c r="H23" s="214" t="str">
        <f>TEXT(DATEVALUE(Day &amp; ", " &amp; Month &amp; ", " &amp; Year), "ddd, dd mmm, yyyy")</f>
        <v>Sun, 06 Aug, 2017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378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109</v>
      </c>
      <c r="E28" s="303"/>
      <c r="F28" s="304"/>
      <c r="G28" s="304"/>
      <c r="H28" s="304"/>
      <c r="I28" s="304"/>
      <c r="J28" s="305"/>
      <c r="K28" s="135">
        <f t="shared" si="10"/>
        <v>0</v>
      </c>
    </row>
    <row r="29" spans="1:86" ht="13.8" hidden="1" x14ac:dyDescent="0.25">
      <c r="D29" s="131" t="s">
        <v>50</v>
      </c>
      <c r="E29" s="303"/>
      <c r="F29" s="304"/>
      <c r="G29" s="304"/>
      <c r="H29" s="304"/>
      <c r="I29" s="304"/>
      <c r="J29" s="305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373" t="s">
        <v>57</v>
      </c>
      <c r="H41" s="212" t="str">
        <f>TEXT(DATEVALUE(Day &amp; ", " &amp; Month &amp; ", " &amp; Year), "ddd, dd mmm, yyyy")</f>
        <v>Sun, 06 Aug, 2017</v>
      </c>
      <c r="I41" s="212"/>
      <c r="J41" s="212" t="str">
        <f>"Page " &amp; IF(chkNights = TRUE, (Day * 3) - 1,IF(chkAfternoons = TRUE,(Day * 2) -1, Day))</f>
        <v>Page 6</v>
      </c>
    </row>
    <row r="42" spans="4:11" ht="6" customHeight="1" thickBot="1" x14ac:dyDescent="0.3">
      <c r="D42" s="374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109</v>
      </c>
      <c r="E46" s="306"/>
      <c r="F46" s="307"/>
      <c r="G46" s="307"/>
      <c r="H46" s="307"/>
      <c r="I46" s="307"/>
      <c r="J46" s="308"/>
      <c r="K46" s="135">
        <f t="shared" si="13"/>
        <v>0</v>
      </c>
    </row>
    <row r="47" spans="4:11" ht="13.8" x14ac:dyDescent="0.25">
      <c r="D47" s="131" t="s">
        <v>50</v>
      </c>
      <c r="E47" s="306"/>
      <c r="F47" s="307"/>
      <c r="G47" s="307"/>
      <c r="H47" s="307"/>
      <c r="I47" s="307"/>
      <c r="J47" s="308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hidden="1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hidden="1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hidden="1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hidden="1" customHeight="1" thickTop="1" thickBot="1" x14ac:dyDescent="0.3"/>
    <row r="56" spans="4:11" ht="15.75" hidden="1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hidden="1" customHeight="1" thickTop="1" thickBot="1" x14ac:dyDescent="0.3"/>
    <row r="58" spans="4:11" ht="19.5" hidden="1" customHeight="1" thickBot="1" x14ac:dyDescent="0.3"/>
    <row r="59" spans="4:11" ht="25.5" hidden="1" customHeight="1" thickTop="1" x14ac:dyDescent="0.25">
      <c r="D59" s="375" t="s">
        <v>58</v>
      </c>
      <c r="H59" s="213" t="str">
        <f>TEXT(DATEVALUE(Day &amp; ", " &amp; Month &amp; ", " &amp; Year), "ddd, dd mmm yyyy")</f>
        <v>Sun, 06 Aug 2017</v>
      </c>
      <c r="I59" s="213"/>
      <c r="J59" s="213" t="str">
        <f>"Page " &amp; IF(chkNights = TRUE, (Day * 3), Day * 2)</f>
        <v>Page 12</v>
      </c>
    </row>
    <row r="60" spans="4:11" ht="9" hidden="1" customHeight="1" thickBot="1" x14ac:dyDescent="0.3">
      <c r="D60" s="376"/>
    </row>
    <row r="61" spans="4:11" ht="25.2" hidden="1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hidden="1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hidden="1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hidden="1" x14ac:dyDescent="0.25">
      <c r="D64" s="131" t="s">
        <v>109</v>
      </c>
      <c r="E64" s="309"/>
      <c r="F64" s="310"/>
      <c r="G64" s="310"/>
      <c r="H64" s="310"/>
      <c r="I64" s="310"/>
      <c r="J64" s="311"/>
      <c r="K64" s="135">
        <f t="shared" si="16"/>
        <v>0</v>
      </c>
    </row>
    <row r="65" spans="4:15" ht="13.8" hidden="1" x14ac:dyDescent="0.25">
      <c r="D65" s="131" t="s">
        <v>50</v>
      </c>
      <c r="E65" s="309"/>
      <c r="F65" s="310"/>
      <c r="G65" s="310"/>
      <c r="H65" s="310"/>
      <c r="I65" s="310"/>
      <c r="J65" s="311"/>
      <c r="K65" s="135">
        <f t="shared" si="16"/>
        <v>0</v>
      </c>
    </row>
    <row r="66" spans="4:15" ht="13.8" hidden="1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hidden="1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31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274320</xdr:colOff>
                <xdr:row>67</xdr:row>
                <xdr:rowOff>0</xdr:rowOff>
              </from>
              <to>
                <xdr:col>6</xdr:col>
                <xdr:colOff>480060</xdr:colOff>
                <xdr:row>68</xdr:row>
                <xdr:rowOff>106680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autoPict="0" r:id="rId11">
            <anchor moveWithCells="1">
              <from>
                <xdr:col>4</xdr:col>
                <xdr:colOff>274320</xdr:colOff>
                <xdr:row>39</xdr:row>
                <xdr:rowOff>160020</xdr:rowOff>
              </from>
              <to>
                <xdr:col>6</xdr:col>
                <xdr:colOff>480060</xdr:colOff>
                <xdr:row>40</xdr:row>
                <xdr:rowOff>266700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274320</xdr:colOff>
                <xdr:row>38</xdr:row>
                <xdr:rowOff>0</xdr:rowOff>
              </from>
              <to>
                <xdr:col>6</xdr:col>
                <xdr:colOff>502920</xdr:colOff>
                <xdr:row>39</xdr:row>
                <xdr:rowOff>7620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379" t="s">
        <v>65</v>
      </c>
      <c r="E4" s="38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114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115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2017-09-09T06:15:31Z</cp:lastPrinted>
  <dcterms:created xsi:type="dcterms:W3CDTF">1998-05-04T06:57:40Z</dcterms:created>
  <dcterms:modified xsi:type="dcterms:W3CDTF">2017-09-09T07:27:58Z</dcterms:modified>
</cp:coreProperties>
</file>