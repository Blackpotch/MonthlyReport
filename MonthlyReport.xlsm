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D:\Stumpers\PIRSA\MonthlyReportDev\"/>
    </mc:Choice>
  </mc:AlternateContent>
  <bookViews>
    <workbookView xWindow="132" yWindow="12" windowWidth="9420" windowHeight="4752" tabRatio="689" firstSheet="1" activeTab="11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state="hidden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L16" i="11" l="1"/>
  <c r="H16" i="11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D39" i="17" s="1"/>
  <c r="K9" i="13"/>
  <c r="K10" i="13"/>
  <c r="K28" i="13"/>
  <c r="K29" i="13"/>
  <c r="K46" i="13"/>
  <c r="K47" i="13"/>
  <c r="C39" i="17" l="1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C4" i="15" l="1"/>
  <c r="J71" i="13"/>
  <c r="I71" i="13"/>
  <c r="H71" i="13"/>
  <c r="G71" i="13"/>
  <c r="F71" i="13"/>
  <c r="E71" i="13"/>
  <c r="K72" i="13" s="1"/>
  <c r="J70" i="13"/>
  <c r="I70" i="13"/>
  <c r="H70" i="13"/>
  <c r="G70" i="13"/>
  <c r="F70" i="13"/>
  <c r="E70" i="13"/>
  <c r="K69" i="13"/>
  <c r="K68" i="13"/>
  <c r="K67" i="13"/>
  <c r="K66" i="13"/>
  <c r="K63" i="13"/>
  <c r="K62" i="13"/>
  <c r="J53" i="13"/>
  <c r="I53" i="13"/>
  <c r="H53" i="13"/>
  <c r="G53" i="13"/>
  <c r="F53" i="13"/>
  <c r="E53" i="13"/>
  <c r="K54" i="13" s="1"/>
  <c r="J52" i="13"/>
  <c r="I52" i="13"/>
  <c r="H52" i="13"/>
  <c r="G52" i="13"/>
  <c r="F52" i="13"/>
  <c r="E52" i="13"/>
  <c r="K51" i="13"/>
  <c r="K50" i="13"/>
  <c r="K49" i="13"/>
  <c r="K48" i="13"/>
  <c r="K45" i="13"/>
  <c r="K44" i="13"/>
  <c r="K36" i="13"/>
  <c r="J35" i="13"/>
  <c r="I35" i="13"/>
  <c r="H35" i="13"/>
  <c r="G35" i="13"/>
  <c r="F35" i="13"/>
  <c r="E35" i="13"/>
  <c r="J34" i="13"/>
  <c r="I34" i="13"/>
  <c r="H34" i="13"/>
  <c r="G34" i="13"/>
  <c r="F34" i="13"/>
  <c r="E34" i="13"/>
  <c r="K33" i="13"/>
  <c r="K32" i="13"/>
  <c r="K31" i="13"/>
  <c r="K30" i="13"/>
  <c r="K27" i="13"/>
  <c r="K26" i="13"/>
  <c r="F16" i="13"/>
  <c r="G16" i="13"/>
  <c r="H16" i="13"/>
  <c r="I16" i="13"/>
  <c r="J16" i="13"/>
  <c r="E16" i="13"/>
  <c r="F15" i="13"/>
  <c r="G15" i="13"/>
  <c r="H15" i="13"/>
  <c r="I15" i="13"/>
  <c r="J15" i="13"/>
  <c r="E15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M6" i="1" s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K37" i="5"/>
  <c r="I5" i="5"/>
  <c r="L5" i="5" s="1"/>
  <c r="I6" i="5"/>
  <c r="L6" i="5" s="1"/>
  <c r="I7" i="5"/>
  <c r="L7" i="5" s="1"/>
  <c r="I8" i="5"/>
  <c r="L8" i="5" s="1"/>
  <c r="I9" i="5"/>
  <c r="I10" i="5"/>
  <c r="L10" i="5" s="1"/>
  <c r="I11" i="5"/>
  <c r="L11" i="5" s="1"/>
  <c r="I12" i="5"/>
  <c r="L12" i="5" s="1"/>
  <c r="I13" i="5"/>
  <c r="L13" i="5" s="1"/>
  <c r="I14" i="5"/>
  <c r="L14" i="5" s="1"/>
  <c r="I15" i="5"/>
  <c r="L15" i="5" s="1"/>
  <c r="I16" i="5"/>
  <c r="L16" i="5" s="1"/>
  <c r="I17" i="5"/>
  <c r="L17" i="5" s="1"/>
  <c r="I18" i="5"/>
  <c r="L18" i="5" s="1"/>
  <c r="I19" i="5"/>
  <c r="L19" i="5" s="1"/>
  <c r="I20" i="5"/>
  <c r="L20" i="5" s="1"/>
  <c r="I21" i="5"/>
  <c r="I22" i="5"/>
  <c r="L22" i="5" s="1"/>
  <c r="I23" i="5"/>
  <c r="L23" i="5" s="1"/>
  <c r="I24" i="5"/>
  <c r="L24" i="5" s="1"/>
  <c r="I25" i="5"/>
  <c r="L25" i="5" s="1"/>
  <c r="I26" i="5"/>
  <c r="L26" i="5" s="1"/>
  <c r="I27" i="5"/>
  <c r="L27" i="5" s="1"/>
  <c r="I28" i="5"/>
  <c r="L28" i="5" s="1"/>
  <c r="I29" i="5"/>
  <c r="I30" i="5"/>
  <c r="I31" i="5"/>
  <c r="I32" i="5"/>
  <c r="L32" i="5" s="1"/>
  <c r="I33" i="5"/>
  <c r="L33" i="5" s="1"/>
  <c r="I34" i="5"/>
  <c r="L34" i="5" s="1"/>
  <c r="I35" i="5"/>
  <c r="L35" i="5" s="1"/>
  <c r="J37" i="5"/>
  <c r="C37" i="5"/>
  <c r="D37" i="5"/>
  <c r="E37" i="5"/>
  <c r="F37" i="5"/>
  <c r="G37" i="5"/>
  <c r="H37" i="5"/>
  <c r="L9" i="5"/>
  <c r="L21" i="5"/>
  <c r="L29" i="5"/>
  <c r="L30" i="5"/>
  <c r="L31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10" i="1" l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L37" i="5"/>
  <c r="J37" i="6"/>
  <c r="H39" i="6" s="1"/>
  <c r="F35" i="4"/>
  <c r="F37" i="4" s="1"/>
  <c r="H35" i="4"/>
  <c r="H37" i="4" s="1"/>
  <c r="I36" i="2"/>
  <c r="G35" i="4"/>
  <c r="G37" i="4" s="1"/>
  <c r="I35" i="4"/>
  <c r="I37" i="4" s="1"/>
  <c r="I36" i="1"/>
  <c r="H22" i="11" s="1"/>
  <c r="H39" i="3" l="1"/>
  <c r="L14" i="11"/>
  <c r="H14" i="11"/>
  <c r="G39" i="6"/>
  <c r="D39" i="6"/>
  <c r="I39" i="6"/>
  <c r="E39" i="6"/>
  <c r="F39" i="6"/>
  <c r="L20" i="11"/>
  <c r="H20" i="11"/>
  <c r="K39" i="5"/>
  <c r="C39" i="5"/>
  <c r="D39" i="5"/>
  <c r="J39" i="5"/>
  <c r="H39" i="5"/>
  <c r="E39" i="5"/>
  <c r="F39" i="5"/>
  <c r="C39" i="3"/>
  <c r="D39" i="3"/>
  <c r="F39" i="3"/>
  <c r="G39" i="3"/>
  <c r="E39" i="3"/>
  <c r="H18" i="11"/>
  <c r="H12" i="11"/>
  <c r="L12" i="11" s="1"/>
  <c r="L18" i="11"/>
  <c r="L22" i="11"/>
  <c r="J39" i="6" l="1"/>
  <c r="I39" i="5"/>
  <c r="I39" i="3"/>
</calcChain>
</file>

<file path=xl/sharedStrings.xml><?xml version="1.0" encoding="utf-8"?>
<sst xmlns="http://schemas.openxmlformats.org/spreadsheetml/2006/main" count="253" uniqueCount="115">
  <si>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</si>
  <si>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</si>
  <si>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</si>
  <si>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</si>
  <si>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</si>
  <si>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</si>
  <si>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</si>
  <si>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</si>
  <si>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</si>
  <si>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</si>
  <si>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</si>
  <si>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</si>
  <si>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</si>
  <si>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</si>
  <si>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</si>
  <si>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</si>
  <si>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</si>
  <si>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</si>
  <si>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</si>
  <si>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</si>
  <si>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</si>
  <si>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</si>
  <si>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</si>
  <si>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VEHICLES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</si>
  <si>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</si>
  <si>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</si>
  <si>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</si>
  <si>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</si>
  <si>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</si>
  <si>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</si>
  <si>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</si>
  <si>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</si>
  <si>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</si>
  <si>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</si>
  <si>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</si>
  <si>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</si>
  <si>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</si>
  <si>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</si>
  <si>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</si>
  <si>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</si>
  <si>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</si>
  <si>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</si>
  <si>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</si>
  <si>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</si>
  <si>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</si>
  <si>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</si>
  <si>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</si>
  <si>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</si>
  <si>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</si>
  <si>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</si>
  <si>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</si>
  <si>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</si>
  <si>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</si>
  <si>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</si>
  <si>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</si>
  <si>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</si>
  <si>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</si>
  <si>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</si>
  <si>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</si>
  <si>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</si>
  <si>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</si>
  <si>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</si>
  <si>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</si>
  <si>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</si>
  <si>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</si>
  <si>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</si>
  <si>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</si>
  <si>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</si>
  <si>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</si>
  <si>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</si>
  <si>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</si>
  <si>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</si>
  <si>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</si>
  <si>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</si>
  <si>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</si>
  <si>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</si>
  <si>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</si>
  <si>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</si>
  <si>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</si>
  <si>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</si>
  <si>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</si>
  <si>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</si>
  <si>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</si>
  <si>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</si>
  <si>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</si>
  <si>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</si>
  <si>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</si>
  <si>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</si>
  <si>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</si>
  <si>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</si>
  <si>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</si>
  <si>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</si>
  <si>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</si>
  <si>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</si>
  <si>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</si>
  <si>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</si>
  <si>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</si>
  <si>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</si>
  <si>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</si>
  <si>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</si>
  <si>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</si>
  <si>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</si>
  <si>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</si>
  <si>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</si>
  <si>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</si>
  <si>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</si>
  <si>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</si>
  <si>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</si>
  <si>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</si>
  <si>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</si>
  <si>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</si>
  <si>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</si>
  <si>
    <t>Caravans</t>
  </si>
  <si>
    <t>Total No. of Caravans &amp; Campers:</t>
  </si>
  <si>
    <t>Total Caravans &amp; Campers: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</si>
</sst>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70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0" fillId="3" borderId="1" xfId="0" applyFill="1" applyBorder="1" applyProtection="1">
      <protection locked="0"/>
    </xf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8" fillId="3" borderId="1" xfId="0" applyFont="1" applyFill="1" applyBorder="1" applyProtection="1">
      <protection locked="0"/>
    </xf>
    <xf numFmtId="0" fontId="7" fillId="0" borderId="1" xfId="0" applyNumberFormat="1" applyFont="1" applyBorder="1"/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3" fillId="0" borderId="1" xfId="0" applyFont="1" applyBorder="1" applyProtection="1">
      <protection locked="0"/>
    </xf>
    <xf numFmtId="1" fontId="7" fillId="0" borderId="0" xfId="0" applyNumberFormat="1" applyFont="1" applyBorder="1"/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3632"/>
        <c:axId val="182075200"/>
      </c:barChart>
      <c:catAx>
        <c:axId val="18207363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52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820752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36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2064"/>
        <c:axId val="182069320"/>
      </c:barChart>
      <c:catAx>
        <c:axId val="18207206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693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82069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20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69712"/>
        <c:axId val="182070104"/>
      </c:barChart>
      <c:catAx>
        <c:axId val="182069712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010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82070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697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0496"/>
        <c:axId val="182072456"/>
      </c:barChart>
      <c:catAx>
        <c:axId val="18207049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24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82072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04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070888"/>
        <c:axId val="182072848"/>
      </c:barChart>
      <c:catAx>
        <c:axId val="182070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7284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820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7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196360"/>
        <c:axId val="184225560"/>
      </c:barChart>
      <c:catAx>
        <c:axId val="16119636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25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84225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1963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227520"/>
        <c:axId val="184225952"/>
      </c:barChart>
      <c:catAx>
        <c:axId val="184227520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2595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84225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275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230264"/>
        <c:axId val="184224384"/>
      </c:barChart>
      <c:catAx>
        <c:axId val="18423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24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4224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302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22</xdr:row>
          <xdr:rowOff>22860</xdr:rowOff>
        </xdr:from>
        <xdr:to>
          <xdr:col>6</xdr:col>
          <xdr:colOff>480060</xdr:colOff>
          <xdr:row>22</xdr:row>
          <xdr:rowOff>312420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39</xdr:row>
          <xdr:rowOff>160020</xdr:rowOff>
        </xdr:from>
        <xdr:to>
          <xdr:col>6</xdr:col>
          <xdr:colOff>426720</xdr:colOff>
          <xdr:row>40</xdr:row>
          <xdr:rowOff>274320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39</xdr:row>
          <xdr:rowOff>45720</xdr:rowOff>
        </xdr:from>
        <xdr:to>
          <xdr:col>6</xdr:col>
          <xdr:colOff>419100</xdr:colOff>
          <xdr:row>40</xdr:row>
          <xdr:rowOff>144780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17" t="str">
        <f>"AMOUNT OF FRUIT CONFISCATED AT " &amp; Location &amp; " (kg)"</f>
        <v>AMOUNT OF FRUIT CONFISCATED AT OODLA WIRRA (kg)</v>
      </c>
      <c r="C2" s="318"/>
      <c r="D2" s="318"/>
      <c r="E2" s="318"/>
      <c r="F2" s="318"/>
      <c r="G2" s="318"/>
      <c r="H2" s="318"/>
      <c r="I2" s="318"/>
      <c r="J2" s="319"/>
      <c r="K2" s="319"/>
      <c r="L2" s="320"/>
    </row>
    <row r="3" spans="2:13" ht="16.2" thickBot="1" x14ac:dyDescent="0.35">
      <c r="B3" s="321" t="str">
        <f>Month &amp;  " " &amp; Year</f>
        <v>April 2017</v>
      </c>
      <c r="C3" s="322"/>
      <c r="D3" s="322"/>
      <c r="E3" s="322"/>
      <c r="F3" s="322"/>
      <c r="G3" s="322"/>
      <c r="H3" s="322"/>
      <c r="I3" s="322"/>
      <c r="J3" s="323"/>
      <c r="K3" s="323"/>
      <c r="L3" s="324"/>
    </row>
    <row r="4" spans="2:13" s="50" customFormat="1" ht="49.5" customHeight="1" thickBot="1" x14ac:dyDescent="0.3">
      <c r="B4" s="126" t="s">
        <v>0</v>
      </c>
      <c r="C4" s="127" t="s">
        <v>1</v>
      </c>
      <c r="D4" s="127" t="s">
        <v>2</v>
      </c>
      <c r="E4" s="127" t="s">
        <v>3</v>
      </c>
      <c r="F4" s="127" t="s">
        <v>4</v>
      </c>
      <c r="G4" s="127" t="s">
        <v>5</v>
      </c>
      <c r="H4" s="127" t="s">
        <v>6</v>
      </c>
      <c r="I4" s="128" t="s">
        <v>24</v>
      </c>
      <c r="J4" s="129" t="s">
        <v>46</v>
      </c>
      <c r="K4" s="130" t="s">
        <v>47</v>
      </c>
      <c r="L4" s="127" t="s">
        <v>29</v>
      </c>
    </row>
    <row r="5" spans="2:13" ht="15.6" x14ac:dyDescent="0.3">
      <c r="B5" s="122">
        <v>1</v>
      </c>
      <c r="C5" s="123"/>
      <c r="D5" s="123"/>
      <c r="E5" s="123"/>
      <c r="F5" s="123"/>
      <c r="G5" s="123"/>
      <c r="H5" s="123"/>
      <c r="I5" s="124">
        <f>SUM(C5:H5)</f>
        <v>0</v>
      </c>
      <c r="J5" s="123"/>
      <c r="K5" s="123"/>
      <c r="L5" s="125">
        <f>SUM(J5:K5)</f>
        <v>0</v>
      </c>
      <c r="M5" s="204">
        <f>I5-L5</f>
        <v>0</v>
      </c>
    </row>
    <row r="6" spans="2:13" ht="15.6" x14ac:dyDescent="0.3">
      <c r="B6" s="43">
        <v>2</v>
      </c>
      <c r="C6" s="44"/>
      <c r="D6" s="44"/>
      <c r="E6" s="44"/>
      <c r="F6" s="44"/>
      <c r="G6" s="44"/>
      <c r="H6" s="44"/>
      <c r="I6" s="115">
        <f t="shared" ref="I6:I35" si="0">SUM(C6:H6)</f>
        <v>0</v>
      </c>
      <c r="J6" s="44"/>
      <c r="K6" s="44"/>
      <c r="L6" s="118">
        <f t="shared" ref="L6:L35" si="1">SUM(J6:K6)</f>
        <v>0</v>
      </c>
      <c r="M6" s="204">
        <f t="shared" ref="M6:M35" si="2">I6-L6</f>
        <v>0</v>
      </c>
    </row>
    <row r="7" spans="2:13" ht="15.6" x14ac:dyDescent="0.3">
      <c r="B7" s="43">
        <v>3</v>
      </c>
      <c r="C7" s="44"/>
      <c r="D7" s="44"/>
      <c r="E7" s="44"/>
      <c r="F7" s="44"/>
      <c r="G7" s="44"/>
      <c r="H7" s="44"/>
      <c r="I7" s="115">
        <f t="shared" si="0"/>
        <v>0</v>
      </c>
      <c r="J7" s="44"/>
      <c r="K7" s="44"/>
      <c r="L7" s="118">
        <f t="shared" si="1"/>
        <v>0</v>
      </c>
      <c r="M7" s="204">
        <f t="shared" si="2"/>
        <v>0</v>
      </c>
    </row>
    <row r="8" spans="2:13" ht="15.6" x14ac:dyDescent="0.3">
      <c r="B8" s="43">
        <v>4</v>
      </c>
      <c r="C8" s="44"/>
      <c r="D8" s="44"/>
      <c r="E8" s="44"/>
      <c r="F8" s="44"/>
      <c r="G8" s="44"/>
      <c r="H8" s="44"/>
      <c r="I8" s="115">
        <f t="shared" si="0"/>
        <v>0</v>
      </c>
      <c r="J8" s="44"/>
      <c r="K8" s="44"/>
      <c r="L8" s="118">
        <f t="shared" si="1"/>
        <v>0</v>
      </c>
      <c r="M8" s="204">
        <f t="shared" si="2"/>
        <v>0</v>
      </c>
    </row>
    <row r="9" spans="2:13" ht="15.6" x14ac:dyDescent="0.3">
      <c r="B9" s="43">
        <v>5</v>
      </c>
      <c r="C9" s="44"/>
      <c r="D9" s="44"/>
      <c r="E9" s="44"/>
      <c r="F9" s="44"/>
      <c r="G9" s="44"/>
      <c r="H9" s="44"/>
      <c r="I9" s="115">
        <f t="shared" si="0"/>
        <v>0</v>
      </c>
      <c r="J9" s="44"/>
      <c r="K9" s="44"/>
      <c r="L9" s="118">
        <f t="shared" si="1"/>
        <v>0</v>
      </c>
      <c r="M9" s="204">
        <f t="shared" si="2"/>
        <v>0</v>
      </c>
    </row>
    <row r="10" spans="2:13" ht="15.6" x14ac:dyDescent="0.3">
      <c r="B10" s="43">
        <v>6</v>
      </c>
      <c r="C10" s="44"/>
      <c r="D10" s="44"/>
      <c r="E10" s="44"/>
      <c r="F10" s="44"/>
      <c r="G10" s="44"/>
      <c r="H10" s="44"/>
      <c r="I10" s="115">
        <f t="shared" si="0"/>
        <v>0</v>
      </c>
      <c r="J10" s="44"/>
      <c r="K10" s="44"/>
      <c r="L10" s="118">
        <f t="shared" si="1"/>
        <v>0</v>
      </c>
      <c r="M10" s="204">
        <f t="shared" si="2"/>
        <v>0</v>
      </c>
    </row>
    <row r="11" spans="2:13" ht="15.6" x14ac:dyDescent="0.3">
      <c r="B11" s="43">
        <v>7</v>
      </c>
      <c r="C11" s="44"/>
      <c r="D11" s="44"/>
      <c r="E11" s="44"/>
      <c r="F11" s="44"/>
      <c r="G11" s="44"/>
      <c r="H11" s="44"/>
      <c r="I11" s="115">
        <f t="shared" si="0"/>
        <v>0</v>
      </c>
      <c r="J11" s="44"/>
      <c r="K11" s="44"/>
      <c r="L11" s="118">
        <f t="shared" si="1"/>
        <v>0</v>
      </c>
      <c r="M11" s="204">
        <f t="shared" si="2"/>
        <v>0</v>
      </c>
    </row>
    <row r="12" spans="2:13" ht="15.6" x14ac:dyDescent="0.3">
      <c r="B12" s="43">
        <v>8</v>
      </c>
      <c r="C12" s="44"/>
      <c r="D12" s="44"/>
      <c r="E12" s="44"/>
      <c r="F12" s="44"/>
      <c r="G12" s="44"/>
      <c r="H12" s="44"/>
      <c r="I12" s="115">
        <f t="shared" si="0"/>
        <v>0</v>
      </c>
      <c r="J12" s="44"/>
      <c r="K12" s="44"/>
      <c r="L12" s="118">
        <f t="shared" si="1"/>
        <v>0</v>
      </c>
      <c r="M12" s="204">
        <f t="shared" si="2"/>
        <v>0</v>
      </c>
    </row>
    <row r="13" spans="2:13" ht="15.6" x14ac:dyDescent="0.3">
      <c r="B13" s="43">
        <v>9</v>
      </c>
      <c r="C13" s="44"/>
      <c r="D13" s="44"/>
      <c r="E13" s="44"/>
      <c r="F13" s="44"/>
      <c r="G13" s="44"/>
      <c r="H13" s="44"/>
      <c r="I13" s="115">
        <f t="shared" si="0"/>
        <v>0</v>
      </c>
      <c r="J13" s="44"/>
      <c r="K13" s="44"/>
      <c r="L13" s="118">
        <f t="shared" si="1"/>
        <v>0</v>
      </c>
      <c r="M13" s="204">
        <f t="shared" si="2"/>
        <v>0</v>
      </c>
    </row>
    <row r="14" spans="2:13" ht="15.6" x14ac:dyDescent="0.3">
      <c r="B14" s="43">
        <v>10</v>
      </c>
      <c r="C14" s="44"/>
      <c r="D14" s="44"/>
      <c r="E14" s="44"/>
      <c r="F14" s="44"/>
      <c r="G14" s="44"/>
      <c r="H14" s="44"/>
      <c r="I14" s="115">
        <f t="shared" si="0"/>
        <v>0</v>
      </c>
      <c r="J14" s="44"/>
      <c r="K14" s="44"/>
      <c r="L14" s="118">
        <f t="shared" si="1"/>
        <v>0</v>
      </c>
      <c r="M14" s="204">
        <f t="shared" si="2"/>
        <v>0</v>
      </c>
    </row>
    <row r="15" spans="2:13" ht="15.6" x14ac:dyDescent="0.3">
      <c r="B15" s="43">
        <v>11</v>
      </c>
      <c r="C15" s="44"/>
      <c r="D15" s="44"/>
      <c r="E15" s="44"/>
      <c r="F15" s="44"/>
      <c r="G15" s="44"/>
      <c r="H15" s="44"/>
      <c r="I15" s="115">
        <f t="shared" si="0"/>
        <v>0</v>
      </c>
      <c r="J15" s="44"/>
      <c r="K15" s="44"/>
      <c r="L15" s="118">
        <f t="shared" si="1"/>
        <v>0</v>
      </c>
      <c r="M15" s="204">
        <f t="shared" si="2"/>
        <v>0</v>
      </c>
    </row>
    <row r="16" spans="2:13" ht="15.6" x14ac:dyDescent="0.3">
      <c r="B16" s="43">
        <v>12</v>
      </c>
      <c r="C16" s="44"/>
      <c r="D16" s="44"/>
      <c r="E16" s="44"/>
      <c r="F16" s="44"/>
      <c r="G16" s="44"/>
      <c r="H16" s="44"/>
      <c r="I16" s="115">
        <f t="shared" si="0"/>
        <v>0</v>
      </c>
      <c r="J16" s="44"/>
      <c r="K16" s="44"/>
      <c r="L16" s="118">
        <f t="shared" si="1"/>
        <v>0</v>
      </c>
      <c r="M16" s="204">
        <f t="shared" si="2"/>
        <v>0</v>
      </c>
    </row>
    <row r="17" spans="2:13" ht="15.6" x14ac:dyDescent="0.3">
      <c r="B17" s="43">
        <v>13</v>
      </c>
      <c r="C17" s="44"/>
      <c r="D17" s="44"/>
      <c r="E17" s="44"/>
      <c r="F17" s="44"/>
      <c r="G17" s="44"/>
      <c r="H17" s="44"/>
      <c r="I17" s="115">
        <f t="shared" si="0"/>
        <v>0</v>
      </c>
      <c r="J17" s="44"/>
      <c r="K17" s="44"/>
      <c r="L17" s="118">
        <f t="shared" si="1"/>
        <v>0</v>
      </c>
      <c r="M17" s="204">
        <f t="shared" si="2"/>
        <v>0</v>
      </c>
    </row>
    <row r="18" spans="2:13" ht="15.6" x14ac:dyDescent="0.3">
      <c r="B18" s="43">
        <v>14</v>
      </c>
      <c r="C18" s="44"/>
      <c r="D18" s="44"/>
      <c r="E18" s="44"/>
      <c r="F18" s="44"/>
      <c r="G18" s="44"/>
      <c r="H18" s="44"/>
      <c r="I18" s="115">
        <f t="shared" si="0"/>
        <v>0</v>
      </c>
      <c r="J18" s="44"/>
      <c r="K18" s="44"/>
      <c r="L18" s="118">
        <f t="shared" si="1"/>
        <v>0</v>
      </c>
      <c r="M18" s="204">
        <f t="shared" si="2"/>
        <v>0</v>
      </c>
    </row>
    <row r="19" spans="2:13" ht="15.6" x14ac:dyDescent="0.3">
      <c r="B19" s="43">
        <v>15</v>
      </c>
      <c r="C19" s="44"/>
      <c r="D19" s="44"/>
      <c r="E19" s="44"/>
      <c r="F19" s="44"/>
      <c r="G19" s="44"/>
      <c r="H19" s="44"/>
      <c r="I19" s="115">
        <f t="shared" si="0"/>
        <v>0</v>
      </c>
      <c r="J19" s="44"/>
      <c r="K19" s="44"/>
      <c r="L19" s="118">
        <f t="shared" si="1"/>
        <v>0</v>
      </c>
      <c r="M19" s="204">
        <f t="shared" si="2"/>
        <v>0</v>
      </c>
    </row>
    <row r="20" spans="2:13" ht="15.6" x14ac:dyDescent="0.3">
      <c r="B20" s="43">
        <v>16</v>
      </c>
      <c r="C20" s="44"/>
      <c r="D20" s="44"/>
      <c r="E20" s="44"/>
      <c r="F20" s="44"/>
      <c r="G20" s="44"/>
      <c r="H20" s="44"/>
      <c r="I20" s="115">
        <f t="shared" si="0"/>
        <v>0</v>
      </c>
      <c r="J20" s="44"/>
      <c r="K20" s="44"/>
      <c r="L20" s="118">
        <f t="shared" si="1"/>
        <v>0</v>
      </c>
      <c r="M20" s="204">
        <f t="shared" si="2"/>
        <v>0</v>
      </c>
    </row>
    <row r="21" spans="2:13" ht="15.6" x14ac:dyDescent="0.3">
      <c r="B21" s="43">
        <v>17</v>
      </c>
      <c r="C21" s="44"/>
      <c r="D21" s="44"/>
      <c r="E21" s="44"/>
      <c r="F21" s="44"/>
      <c r="G21" s="44"/>
      <c r="H21" s="44"/>
      <c r="I21" s="115">
        <f t="shared" si="0"/>
        <v>0</v>
      </c>
      <c r="J21" s="44"/>
      <c r="K21" s="44"/>
      <c r="L21" s="118">
        <f t="shared" si="1"/>
        <v>0</v>
      </c>
      <c r="M21" s="204">
        <f t="shared" si="2"/>
        <v>0</v>
      </c>
    </row>
    <row r="22" spans="2:13" ht="15.6" x14ac:dyDescent="0.3">
      <c r="B22" s="43">
        <v>18</v>
      </c>
      <c r="C22" s="44"/>
      <c r="D22" s="44"/>
      <c r="E22" s="44"/>
      <c r="F22" s="44"/>
      <c r="G22" s="44"/>
      <c r="H22" s="44"/>
      <c r="I22" s="115">
        <f t="shared" si="0"/>
        <v>0</v>
      </c>
      <c r="J22" s="44"/>
      <c r="K22" s="44"/>
      <c r="L22" s="118">
        <f t="shared" si="1"/>
        <v>0</v>
      </c>
      <c r="M22" s="204">
        <f t="shared" si="2"/>
        <v>0</v>
      </c>
    </row>
    <row r="23" spans="2:13" ht="15.6" x14ac:dyDescent="0.3">
      <c r="B23" s="43">
        <v>19</v>
      </c>
      <c r="C23" s="44"/>
      <c r="D23" s="44"/>
      <c r="E23" s="44"/>
      <c r="F23" s="44"/>
      <c r="G23" s="44"/>
      <c r="H23" s="44"/>
      <c r="I23" s="115">
        <f t="shared" si="0"/>
        <v>0</v>
      </c>
      <c r="J23" s="44"/>
      <c r="K23" s="44"/>
      <c r="L23" s="118">
        <f t="shared" si="1"/>
        <v>0</v>
      </c>
      <c r="M23" s="204">
        <f t="shared" si="2"/>
        <v>0</v>
      </c>
    </row>
    <row r="24" spans="2:13" ht="15.6" x14ac:dyDescent="0.3">
      <c r="B24" s="43">
        <v>20</v>
      </c>
      <c r="C24" s="44"/>
      <c r="D24" s="44"/>
      <c r="E24" s="44"/>
      <c r="F24" s="44"/>
      <c r="G24" s="44"/>
      <c r="H24" s="44"/>
      <c r="I24" s="115">
        <f t="shared" si="0"/>
        <v>0</v>
      </c>
      <c r="J24" s="44"/>
      <c r="K24" s="44"/>
      <c r="L24" s="118">
        <f t="shared" si="1"/>
        <v>0</v>
      </c>
      <c r="M24" s="204">
        <f t="shared" si="2"/>
        <v>0</v>
      </c>
    </row>
    <row r="25" spans="2:13" ht="15.6" x14ac:dyDescent="0.3">
      <c r="B25" s="43">
        <v>21</v>
      </c>
      <c r="C25" s="44"/>
      <c r="D25" s="44"/>
      <c r="E25" s="44"/>
      <c r="F25" s="44"/>
      <c r="G25" s="44"/>
      <c r="H25" s="44"/>
      <c r="I25" s="115">
        <f t="shared" si="0"/>
        <v>0</v>
      </c>
      <c r="J25" s="44"/>
      <c r="K25" s="44"/>
      <c r="L25" s="118">
        <f t="shared" si="1"/>
        <v>0</v>
      </c>
      <c r="M25" s="204">
        <f t="shared" si="2"/>
        <v>0</v>
      </c>
    </row>
    <row r="26" spans="2:13" ht="15.6" x14ac:dyDescent="0.3">
      <c r="B26" s="43">
        <v>22</v>
      </c>
      <c r="C26" s="44"/>
      <c r="D26" s="44"/>
      <c r="E26" s="44"/>
      <c r="F26" s="44"/>
      <c r="G26" s="44"/>
      <c r="H26" s="44"/>
      <c r="I26" s="115">
        <f t="shared" si="0"/>
        <v>0</v>
      </c>
      <c r="J26" s="44"/>
      <c r="K26" s="44"/>
      <c r="L26" s="118">
        <f t="shared" si="1"/>
        <v>0</v>
      </c>
      <c r="M26" s="204">
        <f t="shared" si="2"/>
        <v>0</v>
      </c>
    </row>
    <row r="27" spans="2:13" ht="15.6" x14ac:dyDescent="0.3">
      <c r="B27" s="43">
        <v>23</v>
      </c>
      <c r="C27" s="44"/>
      <c r="D27" s="44"/>
      <c r="E27" s="44"/>
      <c r="F27" s="44"/>
      <c r="G27" s="44"/>
      <c r="H27" s="44"/>
      <c r="I27" s="115">
        <f t="shared" si="0"/>
        <v>0</v>
      </c>
      <c r="J27" s="44"/>
      <c r="K27" s="44"/>
      <c r="L27" s="118">
        <f t="shared" si="1"/>
        <v>0</v>
      </c>
      <c r="M27" s="204">
        <f t="shared" si="2"/>
        <v>0</v>
      </c>
    </row>
    <row r="28" spans="2:13" ht="15.6" x14ac:dyDescent="0.3">
      <c r="B28" s="43">
        <v>24</v>
      </c>
      <c r="C28" s="44"/>
      <c r="D28" s="44"/>
      <c r="E28" s="44"/>
      <c r="F28" s="44"/>
      <c r="G28" s="44"/>
      <c r="H28" s="44"/>
      <c r="I28" s="115">
        <f t="shared" si="0"/>
        <v>0</v>
      </c>
      <c r="J28" s="44"/>
      <c r="K28" s="44"/>
      <c r="L28" s="118">
        <f t="shared" si="1"/>
        <v>0</v>
      </c>
      <c r="M28" s="204">
        <f t="shared" si="2"/>
        <v>0</v>
      </c>
    </row>
    <row r="29" spans="2:13" ht="15.6" x14ac:dyDescent="0.3">
      <c r="B29" s="43">
        <v>25</v>
      </c>
      <c r="C29" s="44"/>
      <c r="D29" s="44"/>
      <c r="E29" s="44"/>
      <c r="F29" s="44"/>
      <c r="G29" s="44"/>
      <c r="H29" s="44"/>
      <c r="I29" s="115">
        <f t="shared" si="0"/>
        <v>0</v>
      </c>
      <c r="J29" s="44"/>
      <c r="K29" s="44"/>
      <c r="L29" s="118">
        <f t="shared" si="1"/>
        <v>0</v>
      </c>
      <c r="M29" s="204">
        <f t="shared" si="2"/>
        <v>0</v>
      </c>
    </row>
    <row r="30" spans="2:13" ht="15.6" x14ac:dyDescent="0.3">
      <c r="B30" s="43">
        <v>26</v>
      </c>
      <c r="C30" s="44"/>
      <c r="D30" s="44"/>
      <c r="E30" s="44"/>
      <c r="F30" s="44"/>
      <c r="G30" s="44"/>
      <c r="H30" s="44"/>
      <c r="I30" s="115">
        <f t="shared" si="0"/>
        <v>0</v>
      </c>
      <c r="J30" s="44"/>
      <c r="K30" s="44"/>
      <c r="L30" s="118">
        <f t="shared" si="1"/>
        <v>0</v>
      </c>
      <c r="M30" s="204">
        <f t="shared" si="2"/>
        <v>0</v>
      </c>
    </row>
    <row r="31" spans="2:13" ht="15.6" x14ac:dyDescent="0.3">
      <c r="B31" s="43">
        <v>27</v>
      </c>
      <c r="C31" s="44"/>
      <c r="D31" s="44"/>
      <c r="E31" s="44"/>
      <c r="F31" s="44"/>
      <c r="G31" s="44"/>
      <c r="H31" s="44"/>
      <c r="I31" s="115">
        <f t="shared" si="0"/>
        <v>0</v>
      </c>
      <c r="J31" s="44"/>
      <c r="K31" s="44"/>
      <c r="L31" s="118">
        <f t="shared" si="1"/>
        <v>0</v>
      </c>
      <c r="M31" s="204">
        <f t="shared" si="2"/>
        <v>0</v>
      </c>
    </row>
    <row r="32" spans="2:13" ht="15.6" x14ac:dyDescent="0.3">
      <c r="B32" s="43">
        <v>28</v>
      </c>
      <c r="C32" s="44"/>
      <c r="D32" s="44"/>
      <c r="E32" s="44"/>
      <c r="F32" s="44"/>
      <c r="G32" s="44"/>
      <c r="H32" s="44"/>
      <c r="I32" s="115">
        <f t="shared" si="0"/>
        <v>0</v>
      </c>
      <c r="J32" s="44"/>
      <c r="K32" s="44"/>
      <c r="L32" s="118">
        <f t="shared" si="1"/>
        <v>0</v>
      </c>
      <c r="M32" s="204">
        <f t="shared" si="2"/>
        <v>0</v>
      </c>
    </row>
    <row r="33" spans="2:13" ht="15.6" x14ac:dyDescent="0.3">
      <c r="B33" s="43">
        <v>29</v>
      </c>
      <c r="C33" s="44"/>
      <c r="D33" s="44"/>
      <c r="E33" s="44"/>
      <c r="F33" s="44"/>
      <c r="G33" s="44"/>
      <c r="H33" s="44"/>
      <c r="I33" s="115">
        <f t="shared" si="0"/>
        <v>0</v>
      </c>
      <c r="J33" s="44"/>
      <c r="K33" s="44"/>
      <c r="L33" s="118">
        <f t="shared" si="1"/>
        <v>0</v>
      </c>
      <c r="M33" s="204">
        <f t="shared" si="2"/>
        <v>0</v>
      </c>
    </row>
    <row r="34" spans="2:13" ht="15.6" x14ac:dyDescent="0.3">
      <c r="B34" s="43">
        <v>30</v>
      </c>
      <c r="C34" s="44"/>
      <c r="D34" s="44"/>
      <c r="E34" s="44"/>
      <c r="F34" s="44"/>
      <c r="G34" s="44"/>
      <c r="H34" s="44"/>
      <c r="I34" s="115">
        <f t="shared" si="0"/>
        <v>0</v>
      </c>
      <c r="J34" s="44"/>
      <c r="K34" s="44"/>
      <c r="L34" s="118">
        <f t="shared" si="1"/>
        <v>0</v>
      </c>
      <c r="M34" s="204">
        <f t="shared" si="2"/>
        <v>0</v>
      </c>
    </row>
    <row r="35" spans="2:13" ht="16.2" thickBot="1" x14ac:dyDescent="0.35">
      <c r="B35" s="45">
        <v>31</v>
      </c>
      <c r="C35" s="46"/>
      <c r="D35" s="46"/>
      <c r="E35" s="46"/>
      <c r="F35" s="46"/>
      <c r="G35" s="46"/>
      <c r="H35" s="46"/>
      <c r="I35" s="116">
        <f t="shared" si="0"/>
        <v>0</v>
      </c>
      <c r="J35" s="46"/>
      <c r="K35" s="46"/>
      <c r="L35" s="75">
        <f t="shared" si="1"/>
        <v>0</v>
      </c>
      <c r="M35" s="204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7">
        <f>SUM(L5:L35)</f>
        <v>0</v>
      </c>
    </row>
    <row r="37" spans="2:13" ht="15.6" x14ac:dyDescent="0.3"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1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25" t="str">
        <f>"COMMERCIAL VEHICLES PASSING THROUGH " &amp; Location</f>
        <v>COMMERCIAL VEHICLES PASSING THROUGH OODLA WIRRA</v>
      </c>
      <c r="C2" s="326"/>
      <c r="D2" s="326"/>
      <c r="E2" s="326"/>
      <c r="F2" s="326"/>
      <c r="G2" s="326"/>
      <c r="H2" s="326"/>
      <c r="I2" s="327"/>
    </row>
    <row r="3" spans="2:9" ht="22.95" customHeight="1" thickBot="1" x14ac:dyDescent="0.3">
      <c r="B3" s="328" t="str">
        <f>Month &amp; " " &amp; Year</f>
        <v>April 2017</v>
      </c>
      <c r="C3" s="329"/>
      <c r="D3" s="329"/>
      <c r="E3" s="329"/>
      <c r="F3" s="329"/>
      <c r="G3" s="329"/>
      <c r="H3" s="329"/>
      <c r="I3" s="330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/>
      <c r="D5" s="41"/>
      <c r="E5" s="41"/>
      <c r="F5" s="41"/>
      <c r="G5" s="41"/>
      <c r="H5" s="41"/>
      <c r="I5" s="42">
        <f>SUM(C5:H5)</f>
        <v>0</v>
      </c>
    </row>
    <row r="6" spans="2:9" ht="15.6" x14ac:dyDescent="0.3">
      <c r="B6" s="43">
        <v>2</v>
      </c>
      <c r="C6" s="44"/>
      <c r="D6" s="44"/>
      <c r="E6" s="44"/>
      <c r="F6" s="44"/>
      <c r="G6" s="44"/>
      <c r="H6" s="44"/>
      <c r="I6" s="37">
        <f t="shared" ref="I6:I21" si="0">SUM(C6:H6)</f>
        <v>0</v>
      </c>
    </row>
    <row r="7" spans="2:9" ht="15.6" x14ac:dyDescent="0.3">
      <c r="B7" s="43">
        <v>3</v>
      </c>
      <c r="C7" s="44"/>
      <c r="D7" s="44"/>
      <c r="E7" s="44"/>
      <c r="F7" s="44"/>
      <c r="G7" s="44"/>
      <c r="H7" s="44"/>
      <c r="I7" s="37">
        <f t="shared" si="0"/>
        <v>0</v>
      </c>
    </row>
    <row r="8" spans="2:9" ht="15.6" x14ac:dyDescent="0.3">
      <c r="B8" s="43">
        <v>4</v>
      </c>
      <c r="C8" s="44"/>
      <c r="D8" s="44"/>
      <c r="E8" s="44"/>
      <c r="F8" s="44"/>
      <c r="G8" s="44"/>
      <c r="H8" s="44"/>
      <c r="I8" s="37">
        <f t="shared" si="0"/>
        <v>0</v>
      </c>
    </row>
    <row r="9" spans="2:9" ht="15.6" x14ac:dyDescent="0.3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6" x14ac:dyDescent="0.3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6" x14ac:dyDescent="0.3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6" x14ac:dyDescent="0.3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6" x14ac:dyDescent="0.3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6" x14ac:dyDescent="0.3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6" x14ac:dyDescent="0.3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6" x14ac:dyDescent="0.3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6" x14ac:dyDescent="0.3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6" x14ac:dyDescent="0.3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6" x14ac:dyDescent="0.3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6" x14ac:dyDescent="0.3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6" x14ac:dyDescent="0.3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6" x14ac:dyDescent="0.3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6" x14ac:dyDescent="0.3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6" x14ac:dyDescent="0.3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6" x14ac:dyDescent="0.3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6" x14ac:dyDescent="0.3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6" x14ac:dyDescent="0.3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6" x14ac:dyDescent="0.3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6" x14ac:dyDescent="0.3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6" x14ac:dyDescent="0.3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6" x14ac:dyDescent="0.3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6" x14ac:dyDescent="0.3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6" x14ac:dyDescent="0.3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6" x14ac:dyDescent="0.3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2" thickBot="1" x14ac:dyDescent="0.35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5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31" t="str">
        <f xml:space="preserve"> "CARS PASSING THROUGH " &amp; Location</f>
        <v>CARS PASSING THROUGH OODLA WIRRA</v>
      </c>
      <c r="C2" s="332"/>
      <c r="D2" s="332"/>
      <c r="E2" s="332"/>
      <c r="F2" s="332"/>
      <c r="G2" s="332"/>
      <c r="H2" s="332"/>
      <c r="I2" s="333"/>
    </row>
    <row r="3" spans="2:9" ht="18" thickBot="1" x14ac:dyDescent="0.3">
      <c r="B3" s="334" t="str">
        <f>Month &amp; " " &amp; Year</f>
        <v>April 2017</v>
      </c>
      <c r="C3" s="335"/>
      <c r="D3" s="335"/>
      <c r="E3" s="335"/>
      <c r="F3" s="335"/>
      <c r="G3" s="335"/>
      <c r="H3" s="335"/>
      <c r="I3" s="336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5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5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5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5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5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5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5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5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5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5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5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5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5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5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5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5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5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5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5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5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5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5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5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5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5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5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5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5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5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5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34" t="e">
        <f>#REF!&amp; " " &amp;#REF!</f>
        <v>#REF!</v>
      </c>
      <c r="B2" s="335"/>
      <c r="C2" s="335"/>
      <c r="D2" s="335"/>
      <c r="E2" s="335"/>
      <c r="F2" s="335"/>
      <c r="G2" s="335"/>
      <c r="H2" s="336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1"/>
  <dimension ref="B1:I59"/>
  <sheetViews>
    <sheetView showGridLines="0" showRowColHeaders="0" topLeftCell="B10" zoomScaleNormal="85" workbookViewId="0">
      <selection activeCell="I37" sqref="I37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31" t="str">
        <f xml:space="preserve"> "CARAVANS &amp; CAMPERS PASSING THROUGH " &amp; Location</f>
        <v>CARAVANS &amp; CAMPERS PASSING THROUGH OODLA WIRRA</v>
      </c>
      <c r="C2" s="332"/>
      <c r="D2" s="332"/>
      <c r="E2" s="332"/>
      <c r="F2" s="332"/>
      <c r="G2" s="332"/>
      <c r="H2" s="332"/>
      <c r="I2" s="333"/>
    </row>
    <row r="3" spans="2:9" ht="18" thickBot="1" x14ac:dyDescent="0.3">
      <c r="B3" s="334" t="str">
        <f>Month &amp; " " &amp; Year</f>
        <v>April 2017</v>
      </c>
      <c r="C3" s="335"/>
      <c r="D3" s="335"/>
      <c r="E3" s="335"/>
      <c r="F3" s="335"/>
      <c r="G3" s="335"/>
      <c r="H3" s="335"/>
      <c r="I3" s="336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5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5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5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5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5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5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5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5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5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5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5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5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5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5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5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5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5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5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5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5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5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5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5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5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5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5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5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5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5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5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109375" style="38" customWidth="1"/>
    <col min="9" max="9" width="13.109375" style="38" customWidth="1"/>
    <col min="10" max="10" width="12.44140625" style="49" customWidth="1"/>
    <col min="11" max="11" width="9.33203125" style="49" customWidth="1"/>
    <col min="12" max="12" width="12.33203125" style="49" customWidth="1"/>
    <col min="13" max="13" width="13.109375" style="49" customWidth="1"/>
    <col min="14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31" t="str">
        <f>"VEHICLES PASSING THROUGH " &amp; Location &amp; " - MIDNIGHT SHIFT "</f>
        <v xml:space="preserve">VEHICLES PASSING THROUGH OODLA WIRRA - MIDNIGHT SHIFT </v>
      </c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37"/>
    </row>
    <row r="3" spans="2:14" ht="16.2" thickBot="1" x14ac:dyDescent="0.3">
      <c r="B3" s="328" t="str">
        <f>Month &amp; " " &amp; Year</f>
        <v>April 2017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30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33" t="s">
        <v>23</v>
      </c>
      <c r="J4" s="202" t="s">
        <v>63</v>
      </c>
      <c r="K4" s="33" t="s">
        <v>15</v>
      </c>
      <c r="L4" s="33" t="s">
        <v>8</v>
      </c>
      <c r="M4" s="33" t="s">
        <v>21</v>
      </c>
      <c r="N4" s="33" t="s">
        <v>22</v>
      </c>
    </row>
    <row r="5" spans="2:14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71">
        <f t="shared" ref="I5:I35" si="0">SUM(C5:H5)</f>
        <v>0</v>
      </c>
      <c r="J5" s="41">
        <v>0</v>
      </c>
      <c r="K5" s="41">
        <v>0</v>
      </c>
      <c r="L5" s="71">
        <f>SUM(I5+J5+K5)</f>
        <v>0</v>
      </c>
      <c r="M5" s="41">
        <v>0</v>
      </c>
      <c r="N5" s="52">
        <v>0</v>
      </c>
    </row>
    <row r="6" spans="2:14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72">
        <f t="shared" si="0"/>
        <v>0</v>
      </c>
      <c r="J6" s="44">
        <v>0</v>
      </c>
      <c r="K6" s="44">
        <v>0</v>
      </c>
      <c r="L6" s="72">
        <f t="shared" ref="L6:L35" si="1">SUM(I6+J6+K6)</f>
        <v>0</v>
      </c>
      <c r="M6" s="44">
        <v>0</v>
      </c>
      <c r="N6" s="53">
        <v>0</v>
      </c>
    </row>
    <row r="7" spans="2:14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72">
        <f t="shared" si="0"/>
        <v>0</v>
      </c>
      <c r="J7" s="44">
        <v>0</v>
      </c>
      <c r="K7" s="44">
        <v>0</v>
      </c>
      <c r="L7" s="72">
        <f t="shared" si="1"/>
        <v>0</v>
      </c>
      <c r="M7" s="44">
        <v>0</v>
      </c>
      <c r="N7" s="53">
        <v>0</v>
      </c>
    </row>
    <row r="8" spans="2:14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72">
        <f t="shared" si="0"/>
        <v>0</v>
      </c>
      <c r="J8" s="44">
        <v>0</v>
      </c>
      <c r="K8" s="44">
        <v>0</v>
      </c>
      <c r="L8" s="72">
        <f t="shared" si="1"/>
        <v>0</v>
      </c>
      <c r="M8" s="44">
        <v>0</v>
      </c>
      <c r="N8" s="53">
        <v>0</v>
      </c>
    </row>
    <row r="9" spans="2:14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72">
        <f t="shared" si="0"/>
        <v>0</v>
      </c>
      <c r="J9" s="44">
        <v>0</v>
      </c>
      <c r="K9" s="44">
        <v>0</v>
      </c>
      <c r="L9" s="72">
        <f t="shared" si="1"/>
        <v>0</v>
      </c>
      <c r="M9" s="44">
        <v>0</v>
      </c>
      <c r="N9" s="53">
        <v>0</v>
      </c>
    </row>
    <row r="10" spans="2:14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72">
        <f t="shared" si="0"/>
        <v>0</v>
      </c>
      <c r="J10" s="44">
        <v>0</v>
      </c>
      <c r="K10" s="44">
        <v>0</v>
      </c>
      <c r="L10" s="72">
        <f t="shared" si="1"/>
        <v>0</v>
      </c>
      <c r="M10" s="44">
        <v>0</v>
      </c>
      <c r="N10" s="53">
        <v>0</v>
      </c>
    </row>
    <row r="11" spans="2:14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72">
        <f t="shared" si="0"/>
        <v>0</v>
      </c>
      <c r="J11" s="44">
        <v>0</v>
      </c>
      <c r="K11" s="44">
        <v>0</v>
      </c>
      <c r="L11" s="72">
        <f t="shared" si="1"/>
        <v>0</v>
      </c>
      <c r="M11" s="44">
        <v>0</v>
      </c>
      <c r="N11" s="53">
        <v>0</v>
      </c>
    </row>
    <row r="12" spans="2:14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72">
        <f t="shared" si="0"/>
        <v>0</v>
      </c>
      <c r="J12" s="44">
        <v>0</v>
      </c>
      <c r="K12" s="44">
        <v>0</v>
      </c>
      <c r="L12" s="72">
        <f t="shared" si="1"/>
        <v>0</v>
      </c>
      <c r="M12" s="44">
        <v>0</v>
      </c>
      <c r="N12" s="53">
        <v>0</v>
      </c>
    </row>
    <row r="13" spans="2:14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72">
        <f t="shared" si="0"/>
        <v>0</v>
      </c>
      <c r="J13" s="44">
        <v>0</v>
      </c>
      <c r="K13" s="44">
        <v>0</v>
      </c>
      <c r="L13" s="72">
        <f t="shared" si="1"/>
        <v>0</v>
      </c>
      <c r="M13" s="44">
        <v>0</v>
      </c>
      <c r="N13" s="53">
        <v>0</v>
      </c>
    </row>
    <row r="14" spans="2:14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72">
        <f t="shared" si="0"/>
        <v>0</v>
      </c>
      <c r="J14" s="44">
        <v>0</v>
      </c>
      <c r="K14" s="44">
        <v>0</v>
      </c>
      <c r="L14" s="72">
        <f t="shared" si="1"/>
        <v>0</v>
      </c>
      <c r="M14" s="44">
        <v>0</v>
      </c>
      <c r="N14" s="53">
        <v>0</v>
      </c>
    </row>
    <row r="15" spans="2:14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72">
        <f t="shared" si="0"/>
        <v>0</v>
      </c>
      <c r="J15" s="44">
        <v>0</v>
      </c>
      <c r="K15" s="44">
        <v>0</v>
      </c>
      <c r="L15" s="72">
        <f t="shared" si="1"/>
        <v>0</v>
      </c>
      <c r="M15" s="44">
        <v>0</v>
      </c>
      <c r="N15" s="53">
        <v>0</v>
      </c>
    </row>
    <row r="16" spans="2:14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72">
        <f t="shared" si="0"/>
        <v>0</v>
      </c>
      <c r="J16" s="44">
        <v>0</v>
      </c>
      <c r="K16" s="44">
        <v>0</v>
      </c>
      <c r="L16" s="72">
        <f t="shared" si="1"/>
        <v>0</v>
      </c>
      <c r="M16" s="44">
        <v>0</v>
      </c>
      <c r="N16" s="53">
        <v>0</v>
      </c>
    </row>
    <row r="17" spans="2:14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72">
        <f t="shared" si="0"/>
        <v>0</v>
      </c>
      <c r="J17" s="44">
        <v>0</v>
      </c>
      <c r="K17" s="44">
        <v>0</v>
      </c>
      <c r="L17" s="72">
        <f t="shared" si="1"/>
        <v>0</v>
      </c>
      <c r="M17" s="44">
        <v>0</v>
      </c>
      <c r="N17" s="53">
        <v>0</v>
      </c>
    </row>
    <row r="18" spans="2:14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72">
        <f t="shared" si="0"/>
        <v>0</v>
      </c>
      <c r="J18" s="44">
        <v>0</v>
      </c>
      <c r="K18" s="44">
        <v>0</v>
      </c>
      <c r="L18" s="72">
        <f t="shared" si="1"/>
        <v>0</v>
      </c>
      <c r="M18" s="44">
        <v>0</v>
      </c>
      <c r="N18" s="53">
        <v>0</v>
      </c>
    </row>
    <row r="19" spans="2:14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72">
        <f t="shared" si="0"/>
        <v>0</v>
      </c>
      <c r="J19" s="44">
        <v>0</v>
      </c>
      <c r="K19" s="44">
        <v>0</v>
      </c>
      <c r="L19" s="72">
        <f t="shared" si="1"/>
        <v>0</v>
      </c>
      <c r="M19" s="44">
        <v>0</v>
      </c>
      <c r="N19" s="53">
        <v>0</v>
      </c>
    </row>
    <row r="20" spans="2:14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72">
        <f t="shared" si="0"/>
        <v>0</v>
      </c>
      <c r="J20" s="44">
        <v>0</v>
      </c>
      <c r="K20" s="44">
        <v>0</v>
      </c>
      <c r="L20" s="72">
        <f t="shared" si="1"/>
        <v>0</v>
      </c>
      <c r="M20" s="44">
        <v>0</v>
      </c>
      <c r="N20" s="53">
        <v>0</v>
      </c>
    </row>
    <row r="21" spans="2:14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72">
        <f t="shared" si="0"/>
        <v>0</v>
      </c>
      <c r="J21" s="44">
        <v>0</v>
      </c>
      <c r="K21" s="44">
        <v>0</v>
      </c>
      <c r="L21" s="72">
        <f t="shared" si="1"/>
        <v>0</v>
      </c>
      <c r="M21" s="44">
        <v>0</v>
      </c>
      <c r="N21" s="53">
        <v>0</v>
      </c>
    </row>
    <row r="22" spans="2:14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72">
        <f t="shared" si="0"/>
        <v>0</v>
      </c>
      <c r="J22" s="44">
        <v>0</v>
      </c>
      <c r="K22" s="44">
        <v>0</v>
      </c>
      <c r="L22" s="72">
        <f t="shared" si="1"/>
        <v>0</v>
      </c>
      <c r="M22" s="44">
        <v>0</v>
      </c>
      <c r="N22" s="53">
        <v>0</v>
      </c>
    </row>
    <row r="23" spans="2:14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72">
        <f t="shared" si="0"/>
        <v>0</v>
      </c>
      <c r="J23" s="44">
        <v>0</v>
      </c>
      <c r="K23" s="44">
        <v>0</v>
      </c>
      <c r="L23" s="72">
        <f t="shared" si="1"/>
        <v>0</v>
      </c>
      <c r="M23" s="44">
        <v>0</v>
      </c>
      <c r="N23" s="53">
        <v>0</v>
      </c>
    </row>
    <row r="24" spans="2:14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72">
        <f t="shared" si="0"/>
        <v>0</v>
      </c>
      <c r="J24" s="44">
        <v>0</v>
      </c>
      <c r="K24" s="44">
        <v>0</v>
      </c>
      <c r="L24" s="72">
        <f t="shared" si="1"/>
        <v>0</v>
      </c>
      <c r="M24" s="44">
        <v>0</v>
      </c>
      <c r="N24" s="53">
        <v>0</v>
      </c>
    </row>
    <row r="25" spans="2:14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72">
        <f t="shared" si="0"/>
        <v>0</v>
      </c>
      <c r="J25" s="44">
        <v>0</v>
      </c>
      <c r="K25" s="44">
        <v>0</v>
      </c>
      <c r="L25" s="72">
        <f t="shared" si="1"/>
        <v>0</v>
      </c>
      <c r="M25" s="44">
        <v>0</v>
      </c>
      <c r="N25" s="53">
        <v>0</v>
      </c>
    </row>
    <row r="26" spans="2:14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72">
        <f t="shared" si="0"/>
        <v>0</v>
      </c>
      <c r="J26" s="44">
        <v>0</v>
      </c>
      <c r="K26" s="44">
        <v>0</v>
      </c>
      <c r="L26" s="72">
        <f t="shared" si="1"/>
        <v>0</v>
      </c>
      <c r="M26" s="44">
        <v>0</v>
      </c>
      <c r="N26" s="53">
        <v>0</v>
      </c>
    </row>
    <row r="27" spans="2:14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72">
        <f t="shared" si="0"/>
        <v>0</v>
      </c>
      <c r="J27" s="44">
        <v>0</v>
      </c>
      <c r="K27" s="44">
        <v>0</v>
      </c>
      <c r="L27" s="72">
        <f t="shared" si="1"/>
        <v>0</v>
      </c>
      <c r="M27" s="44">
        <v>0</v>
      </c>
      <c r="N27" s="53">
        <v>0</v>
      </c>
    </row>
    <row r="28" spans="2:14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72">
        <f t="shared" si="0"/>
        <v>0</v>
      </c>
      <c r="J28" s="44">
        <v>0</v>
      </c>
      <c r="K28" s="44">
        <v>0</v>
      </c>
      <c r="L28" s="72">
        <f t="shared" si="1"/>
        <v>0</v>
      </c>
      <c r="M28" s="44">
        <v>0</v>
      </c>
      <c r="N28" s="53">
        <v>0</v>
      </c>
    </row>
    <row r="29" spans="2:14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72">
        <f t="shared" si="0"/>
        <v>0</v>
      </c>
      <c r="J29" s="44">
        <v>0</v>
      </c>
      <c r="K29" s="44">
        <v>0</v>
      </c>
      <c r="L29" s="72">
        <f t="shared" si="1"/>
        <v>0</v>
      </c>
      <c r="M29" s="44">
        <v>0</v>
      </c>
      <c r="N29" s="53">
        <v>0</v>
      </c>
    </row>
    <row r="30" spans="2:14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72">
        <f t="shared" si="0"/>
        <v>0</v>
      </c>
      <c r="J30" s="44">
        <v>0</v>
      </c>
      <c r="K30" s="44">
        <v>0</v>
      </c>
      <c r="L30" s="72">
        <f t="shared" si="1"/>
        <v>0</v>
      </c>
      <c r="M30" s="44">
        <v>0</v>
      </c>
      <c r="N30" s="53">
        <v>0</v>
      </c>
    </row>
    <row r="31" spans="2:14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72">
        <f t="shared" si="0"/>
        <v>0</v>
      </c>
      <c r="J31" s="44">
        <v>0</v>
      </c>
      <c r="K31" s="44">
        <v>0</v>
      </c>
      <c r="L31" s="72">
        <f t="shared" si="1"/>
        <v>0</v>
      </c>
      <c r="M31" s="44">
        <v>0</v>
      </c>
      <c r="N31" s="53">
        <v>0</v>
      </c>
    </row>
    <row r="32" spans="2:14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72">
        <f t="shared" si="0"/>
        <v>0</v>
      </c>
      <c r="J32" s="44">
        <v>0</v>
      </c>
      <c r="K32" s="44">
        <v>0</v>
      </c>
      <c r="L32" s="72">
        <f t="shared" si="1"/>
        <v>0</v>
      </c>
      <c r="M32" s="44">
        <v>0</v>
      </c>
      <c r="N32" s="53">
        <v>0</v>
      </c>
    </row>
    <row r="33" spans="2:14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72">
        <f t="shared" si="0"/>
        <v>0</v>
      </c>
      <c r="J33" s="44">
        <v>0</v>
      </c>
      <c r="K33" s="44">
        <v>0</v>
      </c>
      <c r="L33" s="72">
        <f t="shared" si="1"/>
        <v>0</v>
      </c>
      <c r="M33" s="44">
        <v>0</v>
      </c>
      <c r="N33" s="53">
        <v>0</v>
      </c>
    </row>
    <row r="34" spans="2:14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72">
        <f t="shared" si="0"/>
        <v>0</v>
      </c>
      <c r="J34" s="44">
        <v>0</v>
      </c>
      <c r="K34" s="44">
        <v>0</v>
      </c>
      <c r="L34" s="72">
        <f t="shared" si="1"/>
        <v>0</v>
      </c>
      <c r="M34" s="44">
        <v>0</v>
      </c>
      <c r="N34" s="53">
        <v>0</v>
      </c>
    </row>
    <row r="35" spans="2:14" ht="15.6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73">
        <f t="shared" si="0"/>
        <v>0</v>
      </c>
      <c r="J35" s="46">
        <v>0</v>
      </c>
      <c r="K35" s="46">
        <v>0</v>
      </c>
      <c r="L35" s="73">
        <f t="shared" si="1"/>
        <v>0</v>
      </c>
      <c r="M35" s="46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4"/>
    </row>
    <row r="37" spans="2:14" ht="15.6" thickBot="1" x14ac:dyDescent="0.3">
      <c r="B37" s="55" t="s">
        <v>7</v>
      </c>
      <c r="C37" s="73">
        <f t="shared" ref="C37:L37" si="2">SUM(C5:C35)</f>
        <v>0</v>
      </c>
      <c r="D37" s="73">
        <f t="shared" si="2"/>
        <v>0</v>
      </c>
      <c r="E37" s="73">
        <f t="shared" si="2"/>
        <v>0</v>
      </c>
      <c r="F37" s="73">
        <f t="shared" si="2"/>
        <v>0</v>
      </c>
      <c r="G37" s="73">
        <f t="shared" si="2"/>
        <v>0</v>
      </c>
      <c r="H37" s="73">
        <f t="shared" si="2"/>
        <v>0</v>
      </c>
      <c r="I37" s="73">
        <f t="shared" si="2"/>
        <v>0</v>
      </c>
      <c r="J37" s="73">
        <f t="shared" si="2"/>
        <v>0</v>
      </c>
      <c r="K37" s="73">
        <f t="shared" si="2"/>
        <v>0</v>
      </c>
      <c r="L37" s="73">
        <f t="shared" si="2"/>
        <v>0</v>
      </c>
      <c r="M37" s="73">
        <f>SUM(M5:M35)</f>
        <v>0</v>
      </c>
      <c r="N37" s="75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</row>
    <row r="39" spans="2:14" x14ac:dyDescent="0.25">
      <c r="C39" s="56" t="e">
        <f t="shared" ref="C39:K39" si="3">+C37/$I$37%</f>
        <v>#DIV/0!</v>
      </c>
      <c r="D39" s="56" t="e">
        <f t="shared" si="3"/>
        <v>#DIV/0!</v>
      </c>
      <c r="E39" s="56" t="e">
        <f t="shared" si="3"/>
        <v>#DIV/0!</v>
      </c>
      <c r="F39" s="56" t="e">
        <f t="shared" si="3"/>
        <v>#DIV/0!</v>
      </c>
      <c r="G39" s="56" t="e">
        <f t="shared" si="3"/>
        <v>#DIV/0!</v>
      </c>
      <c r="H39" s="56" t="e">
        <f t="shared" si="3"/>
        <v>#DIV/0!</v>
      </c>
      <c r="I39" s="56" t="e">
        <f>SUM(C39+D39+E39+F39+G39+H39)</f>
        <v>#DIV/0!</v>
      </c>
      <c r="J39" s="56" t="e">
        <f t="shared" si="3"/>
        <v>#DIV/0!</v>
      </c>
      <c r="K39" s="56" t="e">
        <f t="shared" si="3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</row>
    <row r="41" spans="2:14" x14ac:dyDescent="0.25">
      <c r="C41" s="49"/>
      <c r="D41" s="49"/>
      <c r="E41" s="49"/>
      <c r="F41" s="49"/>
      <c r="G41" s="49"/>
      <c r="H41" s="49"/>
      <c r="I41" s="49"/>
    </row>
    <row r="42" spans="2:14" x14ac:dyDescent="0.25">
      <c r="C42" s="49"/>
      <c r="D42" s="49"/>
      <c r="E42" s="49"/>
      <c r="F42" s="49"/>
      <c r="G42" s="49"/>
      <c r="H42" s="49"/>
      <c r="I42" s="49"/>
    </row>
    <row r="43" spans="2:14" x14ac:dyDescent="0.25">
      <c r="C43" s="49"/>
      <c r="D43" s="49"/>
      <c r="E43" s="49"/>
      <c r="F43" s="49"/>
      <c r="G43" s="49"/>
      <c r="H43" s="49"/>
      <c r="I43" s="49"/>
    </row>
    <row r="44" spans="2:14" x14ac:dyDescent="0.25">
      <c r="C44" s="49"/>
      <c r="D44" s="49"/>
      <c r="E44" s="49"/>
      <c r="F44" s="49"/>
      <c r="G44" s="49"/>
      <c r="H44" s="49"/>
      <c r="I44" s="49"/>
    </row>
    <row r="45" spans="2:14" x14ac:dyDescent="0.25">
      <c r="C45" s="49"/>
      <c r="D45" s="49"/>
      <c r="E45" s="49"/>
      <c r="F45" s="49"/>
      <c r="G45" s="49"/>
      <c r="H45" s="49"/>
      <c r="I45" s="49"/>
    </row>
    <row r="46" spans="2:14" x14ac:dyDescent="0.25">
      <c r="C46" s="49"/>
      <c r="D46" s="49"/>
      <c r="E46" s="49"/>
      <c r="F46" s="49"/>
      <c r="G46" s="49"/>
      <c r="H46" s="49"/>
      <c r="I46" s="49"/>
    </row>
    <row r="47" spans="2:14" x14ac:dyDescent="0.25">
      <c r="C47" s="49"/>
      <c r="D47" s="49"/>
      <c r="E47" s="49"/>
      <c r="F47" s="49"/>
      <c r="G47" s="49"/>
      <c r="H47" s="49"/>
      <c r="I47" s="49"/>
    </row>
    <row r="48" spans="2:14" x14ac:dyDescent="0.25">
      <c r="C48" s="49"/>
      <c r="D48" s="49"/>
      <c r="E48" s="49"/>
      <c r="F48" s="49"/>
      <c r="G48" s="49"/>
      <c r="H48" s="49"/>
      <c r="I48" s="49"/>
    </row>
    <row r="49" spans="3:9" x14ac:dyDescent="0.25">
      <c r="C49" s="49"/>
      <c r="D49" s="49"/>
      <c r="E49" s="49"/>
      <c r="F49" s="49"/>
      <c r="G49" s="49"/>
      <c r="H49" s="49"/>
      <c r="I49" s="49"/>
    </row>
    <row r="50" spans="3:9" x14ac:dyDescent="0.25">
      <c r="C50" s="49"/>
      <c r="D50" s="49"/>
      <c r="E50" s="49"/>
      <c r="F50" s="49"/>
      <c r="G50" s="49"/>
      <c r="H50" s="49"/>
      <c r="I50" s="49"/>
    </row>
    <row r="51" spans="3:9" x14ac:dyDescent="0.25">
      <c r="C51" s="49"/>
      <c r="D51" s="49"/>
      <c r="E51" s="49"/>
      <c r="F51" s="49"/>
      <c r="G51" s="49"/>
      <c r="H51" s="49"/>
      <c r="I51" s="49"/>
    </row>
    <row r="52" spans="3:9" x14ac:dyDescent="0.25">
      <c r="C52" s="49"/>
      <c r="D52" s="49"/>
      <c r="E52" s="49"/>
      <c r="F52" s="49"/>
      <c r="G52" s="49"/>
      <c r="H52" s="49"/>
      <c r="I52" s="49"/>
    </row>
    <row r="53" spans="3:9" x14ac:dyDescent="0.25">
      <c r="C53" s="49"/>
      <c r="D53" s="49"/>
      <c r="E53" s="49"/>
      <c r="F53" s="49"/>
      <c r="G53" s="49"/>
      <c r="H53" s="49"/>
      <c r="I53" s="49"/>
    </row>
    <row r="54" spans="3:9" x14ac:dyDescent="0.25">
      <c r="C54" s="49"/>
      <c r="D54" s="49"/>
      <c r="E54" s="49"/>
      <c r="F54" s="49"/>
      <c r="G54" s="49"/>
      <c r="H54" s="49"/>
      <c r="I54" s="49"/>
    </row>
    <row r="55" spans="3:9" x14ac:dyDescent="0.25">
      <c r="C55" s="49"/>
      <c r="D55" s="49"/>
      <c r="E55" s="49"/>
      <c r="F55" s="49"/>
      <c r="G55" s="49"/>
      <c r="H55" s="49"/>
      <c r="I55" s="49"/>
    </row>
    <row r="56" spans="3:9" x14ac:dyDescent="0.25">
      <c r="C56" s="49"/>
      <c r="D56" s="49"/>
      <c r="E56" s="49"/>
      <c r="F56" s="49"/>
      <c r="G56" s="49"/>
      <c r="H56" s="49"/>
      <c r="I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4" max="4" width="16" customWidth="1"/>
    <col min="5" max="9" width="14.6640625" customWidth="1"/>
  </cols>
  <sheetData>
    <row r="2" spans="4:9" ht="13.8" thickBot="1" x14ac:dyDescent="0.3"/>
    <row r="3" spans="4:9" ht="42.75" customHeight="1" thickBot="1" x14ac:dyDescent="0.3">
      <c r="D3" s="338" t="str">
        <f>Location&amp;" - Traffic Volumes per Shift - "&amp; Month &amp; " " &amp; Year</f>
        <v>OODLA WIRRA - Traffic Volumes per Shift - April 2017</v>
      </c>
      <c r="E3" s="339"/>
      <c r="F3" s="340"/>
      <c r="G3" s="340"/>
      <c r="H3" s="340"/>
      <c r="I3" s="341"/>
    </row>
    <row r="4" spans="4:9" ht="18" thickBot="1" x14ac:dyDescent="0.3">
      <c r="D4" s="277" t="s">
        <v>105</v>
      </c>
      <c r="E4" s="278" t="s">
        <v>104</v>
      </c>
      <c r="F4" s="279" t="s">
        <v>102</v>
      </c>
      <c r="G4" s="279" t="s">
        <v>12</v>
      </c>
      <c r="H4" s="279" t="s">
        <v>13</v>
      </c>
      <c r="I4" s="280" t="s">
        <v>29</v>
      </c>
    </row>
    <row r="5" spans="4:9" ht="15" x14ac:dyDescent="0.25">
      <c r="D5" s="281">
        <f>DATE(Year,MONTH(1&amp;Month),1)</f>
        <v>42826</v>
      </c>
      <c r="E5" s="284">
        <v>1</v>
      </c>
      <c r="F5" s="289"/>
      <c r="G5" s="290"/>
      <c r="H5" s="291"/>
      <c r="I5" s="286">
        <f>SUM(F5:H5)</f>
        <v>0</v>
      </c>
    </row>
    <row r="6" spans="4:9" ht="15" x14ac:dyDescent="0.25">
      <c r="D6" s="282">
        <f>D5+1</f>
        <v>42827</v>
      </c>
      <c r="E6" s="285">
        <v>2</v>
      </c>
      <c r="F6" s="292"/>
      <c r="G6" s="275"/>
      <c r="H6" s="293"/>
      <c r="I6" s="287">
        <f t="shared" ref="I6:I35" si="0">SUM(F6:H6)</f>
        <v>0</v>
      </c>
    </row>
    <row r="7" spans="4:9" ht="15" x14ac:dyDescent="0.25">
      <c r="D7" s="282">
        <f>D6+1</f>
        <v>42828</v>
      </c>
      <c r="E7" s="285">
        <v>3</v>
      </c>
      <c r="F7" s="292"/>
      <c r="G7" s="275"/>
      <c r="H7" s="293"/>
      <c r="I7" s="287">
        <f t="shared" si="0"/>
        <v>0</v>
      </c>
    </row>
    <row r="8" spans="4:9" ht="15" x14ac:dyDescent="0.25">
      <c r="D8" s="282">
        <f t="shared" ref="D8:D35" si="1">D7+1</f>
        <v>42829</v>
      </c>
      <c r="E8" s="285">
        <v>4</v>
      </c>
      <c r="F8" s="292"/>
      <c r="G8" s="275"/>
      <c r="H8" s="293"/>
      <c r="I8" s="287">
        <f t="shared" si="0"/>
        <v>0</v>
      </c>
    </row>
    <row r="9" spans="4:9" ht="15" x14ac:dyDescent="0.25">
      <c r="D9" s="282">
        <f t="shared" si="1"/>
        <v>42830</v>
      </c>
      <c r="E9" s="285">
        <v>5</v>
      </c>
      <c r="F9" s="292"/>
      <c r="G9" s="275"/>
      <c r="H9" s="293"/>
      <c r="I9" s="287">
        <f t="shared" si="0"/>
        <v>0</v>
      </c>
    </row>
    <row r="10" spans="4:9" ht="15" x14ac:dyDescent="0.25">
      <c r="D10" s="282">
        <f t="shared" si="1"/>
        <v>42831</v>
      </c>
      <c r="E10" s="285">
        <v>6</v>
      </c>
      <c r="F10" s="292"/>
      <c r="G10" s="275"/>
      <c r="H10" s="293"/>
      <c r="I10" s="287">
        <f t="shared" si="0"/>
        <v>0</v>
      </c>
    </row>
    <row r="11" spans="4:9" ht="15" x14ac:dyDescent="0.25">
      <c r="D11" s="282">
        <f t="shared" si="1"/>
        <v>42832</v>
      </c>
      <c r="E11" s="285">
        <v>7</v>
      </c>
      <c r="F11" s="292"/>
      <c r="G11" s="275"/>
      <c r="H11" s="293"/>
      <c r="I11" s="287">
        <f t="shared" si="0"/>
        <v>0</v>
      </c>
    </row>
    <row r="12" spans="4:9" ht="15" x14ac:dyDescent="0.25">
      <c r="D12" s="282">
        <f t="shared" si="1"/>
        <v>42833</v>
      </c>
      <c r="E12" s="285">
        <v>8</v>
      </c>
      <c r="F12" s="292"/>
      <c r="G12" s="275"/>
      <c r="H12" s="293"/>
      <c r="I12" s="287">
        <f t="shared" si="0"/>
        <v>0</v>
      </c>
    </row>
    <row r="13" spans="4:9" ht="15" x14ac:dyDescent="0.25">
      <c r="D13" s="282">
        <f t="shared" si="1"/>
        <v>42834</v>
      </c>
      <c r="E13" s="285">
        <v>9</v>
      </c>
      <c r="F13" s="292"/>
      <c r="G13" s="275"/>
      <c r="H13" s="293"/>
      <c r="I13" s="287">
        <f t="shared" si="0"/>
        <v>0</v>
      </c>
    </row>
    <row r="14" spans="4:9" ht="15" x14ac:dyDescent="0.25">
      <c r="D14" s="282">
        <f t="shared" si="1"/>
        <v>42835</v>
      </c>
      <c r="E14" s="285">
        <v>10</v>
      </c>
      <c r="F14" s="292"/>
      <c r="G14" s="275"/>
      <c r="H14" s="293"/>
      <c r="I14" s="287">
        <f t="shared" si="0"/>
        <v>0</v>
      </c>
    </row>
    <row r="15" spans="4:9" ht="15" x14ac:dyDescent="0.25">
      <c r="D15" s="282">
        <f t="shared" si="1"/>
        <v>42836</v>
      </c>
      <c r="E15" s="285">
        <v>11</v>
      </c>
      <c r="F15" s="292"/>
      <c r="G15" s="275"/>
      <c r="H15" s="293"/>
      <c r="I15" s="287">
        <f t="shared" si="0"/>
        <v>0</v>
      </c>
    </row>
    <row r="16" spans="4:9" ht="15" x14ac:dyDescent="0.25">
      <c r="D16" s="282">
        <f t="shared" si="1"/>
        <v>42837</v>
      </c>
      <c r="E16" s="285">
        <v>12</v>
      </c>
      <c r="F16" s="292"/>
      <c r="G16" s="275"/>
      <c r="H16" s="293"/>
      <c r="I16" s="287">
        <f t="shared" si="0"/>
        <v>0</v>
      </c>
    </row>
    <row r="17" spans="4:9" ht="15" x14ac:dyDescent="0.25">
      <c r="D17" s="282">
        <f t="shared" si="1"/>
        <v>42838</v>
      </c>
      <c r="E17" s="285">
        <v>13</v>
      </c>
      <c r="F17" s="292"/>
      <c r="G17" s="275"/>
      <c r="H17" s="293"/>
      <c r="I17" s="287">
        <f t="shared" si="0"/>
        <v>0</v>
      </c>
    </row>
    <row r="18" spans="4:9" ht="15" x14ac:dyDescent="0.25">
      <c r="D18" s="282">
        <f t="shared" si="1"/>
        <v>42839</v>
      </c>
      <c r="E18" s="285">
        <v>14</v>
      </c>
      <c r="F18" s="292"/>
      <c r="G18" s="275"/>
      <c r="H18" s="293"/>
      <c r="I18" s="287">
        <f t="shared" si="0"/>
        <v>0</v>
      </c>
    </row>
    <row r="19" spans="4:9" ht="15" x14ac:dyDescent="0.25">
      <c r="D19" s="282">
        <f t="shared" si="1"/>
        <v>42840</v>
      </c>
      <c r="E19" s="285">
        <v>15</v>
      </c>
      <c r="F19" s="292"/>
      <c r="G19" s="275"/>
      <c r="H19" s="293"/>
      <c r="I19" s="287">
        <f t="shared" si="0"/>
        <v>0</v>
      </c>
    </row>
    <row r="20" spans="4:9" ht="15" x14ac:dyDescent="0.25">
      <c r="D20" s="282">
        <f t="shared" si="1"/>
        <v>42841</v>
      </c>
      <c r="E20" s="285">
        <v>16</v>
      </c>
      <c r="F20" s="292"/>
      <c r="G20" s="275"/>
      <c r="H20" s="293"/>
      <c r="I20" s="287">
        <f t="shared" si="0"/>
        <v>0</v>
      </c>
    </row>
    <row r="21" spans="4:9" ht="15" x14ac:dyDescent="0.25">
      <c r="D21" s="282">
        <f t="shared" si="1"/>
        <v>42842</v>
      </c>
      <c r="E21" s="285">
        <v>17</v>
      </c>
      <c r="F21" s="292"/>
      <c r="G21" s="275"/>
      <c r="H21" s="293"/>
      <c r="I21" s="287">
        <f t="shared" si="0"/>
        <v>0</v>
      </c>
    </row>
    <row r="22" spans="4:9" ht="15" x14ac:dyDescent="0.25">
      <c r="D22" s="282">
        <f t="shared" si="1"/>
        <v>42843</v>
      </c>
      <c r="E22" s="285">
        <v>18</v>
      </c>
      <c r="F22" s="292"/>
      <c r="G22" s="275"/>
      <c r="H22" s="293"/>
      <c r="I22" s="287">
        <f t="shared" si="0"/>
        <v>0</v>
      </c>
    </row>
    <row r="23" spans="4:9" ht="15" x14ac:dyDescent="0.25">
      <c r="D23" s="282">
        <f t="shared" si="1"/>
        <v>42844</v>
      </c>
      <c r="E23" s="285">
        <v>19</v>
      </c>
      <c r="F23" s="292"/>
      <c r="G23" s="275"/>
      <c r="H23" s="293"/>
      <c r="I23" s="287">
        <f t="shared" si="0"/>
        <v>0</v>
      </c>
    </row>
    <row r="24" spans="4:9" ht="15" x14ac:dyDescent="0.25">
      <c r="D24" s="282">
        <f t="shared" si="1"/>
        <v>42845</v>
      </c>
      <c r="E24" s="285">
        <v>20</v>
      </c>
      <c r="F24" s="292"/>
      <c r="G24" s="275"/>
      <c r="H24" s="293"/>
      <c r="I24" s="287">
        <f t="shared" si="0"/>
        <v>0</v>
      </c>
    </row>
    <row r="25" spans="4:9" ht="15" x14ac:dyDescent="0.25">
      <c r="D25" s="282">
        <f t="shared" si="1"/>
        <v>42846</v>
      </c>
      <c r="E25" s="285">
        <v>21</v>
      </c>
      <c r="F25" s="292"/>
      <c r="G25" s="275"/>
      <c r="H25" s="293"/>
      <c r="I25" s="287">
        <f t="shared" si="0"/>
        <v>0</v>
      </c>
    </row>
    <row r="26" spans="4:9" ht="15" x14ac:dyDescent="0.25">
      <c r="D26" s="282">
        <f t="shared" si="1"/>
        <v>42847</v>
      </c>
      <c r="E26" s="285">
        <v>22</v>
      </c>
      <c r="F26" s="292"/>
      <c r="G26" s="275"/>
      <c r="H26" s="293"/>
      <c r="I26" s="287">
        <f t="shared" si="0"/>
        <v>0</v>
      </c>
    </row>
    <row r="27" spans="4:9" ht="15" x14ac:dyDescent="0.25">
      <c r="D27" s="282">
        <f t="shared" si="1"/>
        <v>42848</v>
      </c>
      <c r="E27" s="285">
        <v>23</v>
      </c>
      <c r="F27" s="292"/>
      <c r="G27" s="275"/>
      <c r="H27" s="293"/>
      <c r="I27" s="287">
        <f t="shared" si="0"/>
        <v>0</v>
      </c>
    </row>
    <row r="28" spans="4:9" ht="15" x14ac:dyDescent="0.25">
      <c r="D28" s="282">
        <f t="shared" si="1"/>
        <v>42849</v>
      </c>
      <c r="E28" s="285">
        <v>24</v>
      </c>
      <c r="F28" s="292"/>
      <c r="G28" s="275"/>
      <c r="H28" s="293"/>
      <c r="I28" s="287">
        <f t="shared" si="0"/>
        <v>0</v>
      </c>
    </row>
    <row r="29" spans="4:9" ht="15" x14ac:dyDescent="0.25">
      <c r="D29" s="282">
        <f t="shared" si="1"/>
        <v>42850</v>
      </c>
      <c r="E29" s="285">
        <v>25</v>
      </c>
      <c r="F29" s="292"/>
      <c r="G29" s="275"/>
      <c r="H29" s="293"/>
      <c r="I29" s="287">
        <f t="shared" si="0"/>
        <v>0</v>
      </c>
    </row>
    <row r="30" spans="4:9" ht="15" x14ac:dyDescent="0.25">
      <c r="D30" s="282">
        <f t="shared" si="1"/>
        <v>42851</v>
      </c>
      <c r="E30" s="285">
        <v>26</v>
      </c>
      <c r="F30" s="292"/>
      <c r="G30" s="275"/>
      <c r="H30" s="293"/>
      <c r="I30" s="287">
        <f t="shared" si="0"/>
        <v>0</v>
      </c>
    </row>
    <row r="31" spans="4:9" ht="15" x14ac:dyDescent="0.25">
      <c r="D31" s="282">
        <f t="shared" si="1"/>
        <v>42852</v>
      </c>
      <c r="E31" s="285">
        <v>27</v>
      </c>
      <c r="F31" s="292"/>
      <c r="G31" s="275"/>
      <c r="H31" s="293"/>
      <c r="I31" s="287">
        <f t="shared" si="0"/>
        <v>0</v>
      </c>
    </row>
    <row r="32" spans="4:9" ht="15" x14ac:dyDescent="0.25">
      <c r="D32" s="282">
        <f t="shared" si="1"/>
        <v>42853</v>
      </c>
      <c r="E32" s="285">
        <v>28</v>
      </c>
      <c r="F32" s="292"/>
      <c r="G32" s="275"/>
      <c r="H32" s="293"/>
      <c r="I32" s="287">
        <f t="shared" si="0"/>
        <v>0</v>
      </c>
    </row>
    <row r="33" spans="4:9" ht="15" x14ac:dyDescent="0.25">
      <c r="D33" s="282">
        <f t="shared" si="1"/>
        <v>42854</v>
      </c>
      <c r="E33" s="285">
        <v>29</v>
      </c>
      <c r="F33" s="292"/>
      <c r="G33" s="275"/>
      <c r="H33" s="293"/>
      <c r="I33" s="287">
        <f t="shared" si="0"/>
        <v>0</v>
      </c>
    </row>
    <row r="34" spans="4:9" ht="15" x14ac:dyDescent="0.25">
      <c r="D34" s="282">
        <f t="shared" si="1"/>
        <v>42855</v>
      </c>
      <c r="E34" s="285">
        <v>30</v>
      </c>
      <c r="F34" s="292"/>
      <c r="G34" s="275"/>
      <c r="H34" s="293"/>
      <c r="I34" s="287">
        <f t="shared" si="0"/>
        <v>0</v>
      </c>
    </row>
    <row r="35" spans="4:9" ht="15.6" thickBot="1" x14ac:dyDescent="0.3">
      <c r="D35" s="283">
        <f t="shared" si="1"/>
        <v>42856</v>
      </c>
      <c r="E35" s="294">
        <v>31</v>
      </c>
      <c r="F35" s="295"/>
      <c r="G35" s="276"/>
      <c r="H35" s="296"/>
      <c r="I35" s="288">
        <f t="shared" si="0"/>
        <v>0</v>
      </c>
    </row>
    <row r="36" spans="4:9" ht="16.2" thickBot="1" x14ac:dyDescent="0.35">
      <c r="D36" s="301"/>
      <c r="E36" s="302" t="s">
        <v>103</v>
      </c>
      <c r="F36" s="297">
        <f>SUM(F5:F35)</f>
        <v>0</v>
      </c>
      <c r="G36" s="298">
        <f t="shared" ref="G36:I36" si="2">SUM(G5:G35)</f>
        <v>0</v>
      </c>
      <c r="H36" s="299">
        <f t="shared" si="2"/>
        <v>0</v>
      </c>
      <c r="I36" s="300">
        <f t="shared" si="2"/>
        <v>0</v>
      </c>
    </row>
    <row r="37" spans="4:9" x14ac:dyDescent="0.25">
      <c r="D37" s="274"/>
      <c r="E37" s="274"/>
    </row>
    <row r="38" spans="4:9" x14ac:dyDescent="0.25">
      <c r="D38" s="274"/>
      <c r="E38" s="274"/>
    </row>
    <row r="39" spans="4:9" x14ac:dyDescent="0.25">
      <c r="D39" s="274"/>
      <c r="E39" s="274"/>
    </row>
    <row r="40" spans="4:9" x14ac:dyDescent="0.25">
      <c r="D40" s="274"/>
      <c r="E40" s="274"/>
    </row>
    <row r="41" spans="4:9" x14ac:dyDescent="0.25">
      <c r="D41" s="274"/>
      <c r="E41" s="274"/>
    </row>
    <row r="42" spans="4:9" x14ac:dyDescent="0.25">
      <c r="D42" s="274"/>
      <c r="E42" s="274"/>
    </row>
    <row r="43" spans="4:9" x14ac:dyDescent="0.25">
      <c r="D43" s="274"/>
      <c r="E43" s="274"/>
    </row>
    <row r="44" spans="4:9" x14ac:dyDescent="0.25">
      <c r="D44" s="274"/>
      <c r="E44" s="274"/>
    </row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42" t="str">
        <f xml:space="preserve"> "VEHICLES WITH FRUIT PASSING THROUGH " &amp; Location</f>
        <v>VEHICLES WITH FRUIT PASSING THROUGH OODLA WIRRA</v>
      </c>
      <c r="D2" s="343"/>
      <c r="E2" s="343"/>
      <c r="F2" s="343"/>
      <c r="G2" s="343"/>
      <c r="H2" s="343"/>
      <c r="I2" s="343"/>
      <c r="J2" s="344"/>
    </row>
    <row r="3" spans="3:10" ht="16.2" thickBot="1" x14ac:dyDescent="0.3">
      <c r="C3" s="345" t="str">
        <f>Month &amp; " " &amp; Year</f>
        <v>April 2017</v>
      </c>
      <c r="D3" s="346"/>
      <c r="E3" s="346"/>
      <c r="F3" s="346"/>
      <c r="G3" s="346"/>
      <c r="H3" s="346"/>
      <c r="I3" s="346"/>
      <c r="J3" s="347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49</v>
      </c>
      <c r="J4" s="59" t="s">
        <v>8</v>
      </c>
    </row>
    <row r="5" spans="3:10" ht="15.6" x14ac:dyDescent="0.3">
      <c r="C5" s="61">
        <v>1</v>
      </c>
      <c r="D5" s="41"/>
      <c r="E5" s="41"/>
      <c r="F5" s="41"/>
      <c r="G5" s="41"/>
      <c r="H5" s="41"/>
      <c r="I5" s="41"/>
      <c r="J5" s="62">
        <f t="shared" ref="J5:J35" si="0">SUM(D5:I5)</f>
        <v>0</v>
      </c>
    </row>
    <row r="6" spans="3:10" ht="15.6" x14ac:dyDescent="0.3">
      <c r="C6" s="63">
        <v>2</v>
      </c>
      <c r="D6" s="44"/>
      <c r="E6" s="44"/>
      <c r="F6" s="44"/>
      <c r="G6" s="44"/>
      <c r="H6" s="44"/>
      <c r="I6" s="44"/>
      <c r="J6" s="64">
        <f t="shared" si="0"/>
        <v>0</v>
      </c>
    </row>
    <row r="7" spans="3:10" ht="15.6" x14ac:dyDescent="0.3">
      <c r="C7" s="63">
        <v>3</v>
      </c>
      <c r="D7" s="44"/>
      <c r="E7" s="44"/>
      <c r="F7" s="44"/>
      <c r="G7" s="44"/>
      <c r="H7" s="44"/>
      <c r="I7" s="44"/>
      <c r="J7" s="64">
        <f t="shared" si="0"/>
        <v>0</v>
      </c>
    </row>
    <row r="8" spans="3:10" ht="15.6" x14ac:dyDescent="0.3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6" x14ac:dyDescent="0.3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6" x14ac:dyDescent="0.3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6" x14ac:dyDescent="0.3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6" x14ac:dyDescent="0.3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6" x14ac:dyDescent="0.3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6" x14ac:dyDescent="0.3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6" x14ac:dyDescent="0.3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6" x14ac:dyDescent="0.3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6" x14ac:dyDescent="0.3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6" x14ac:dyDescent="0.3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6" x14ac:dyDescent="0.3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6" x14ac:dyDescent="0.3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6" x14ac:dyDescent="0.3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6" x14ac:dyDescent="0.3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6" x14ac:dyDescent="0.3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6" x14ac:dyDescent="0.3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6" x14ac:dyDescent="0.3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6" x14ac:dyDescent="0.3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6" x14ac:dyDescent="0.3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6" x14ac:dyDescent="0.3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6" x14ac:dyDescent="0.3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6" x14ac:dyDescent="0.3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6" x14ac:dyDescent="0.3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6" x14ac:dyDescent="0.3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6" x14ac:dyDescent="0.3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6" x14ac:dyDescent="0.3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2" thickBot="1" x14ac:dyDescent="0.35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H5" sqref="H5"/>
    </sheetView>
  </sheetViews>
  <sheetFormatPr defaultColWidth="8.88671875" defaultRowHeight="13.2" x14ac:dyDescent="0.25"/>
  <cols>
    <col min="1" max="3" width="4.6640625" style="102" customWidth="1"/>
    <col min="4" max="16384" width="8.88671875" style="102"/>
  </cols>
  <sheetData>
    <row r="2" spans="3:9" ht="17.399999999999999" x14ac:dyDescent="0.3">
      <c r="C2" s="110" t="str">
        <f>Location &amp; " Roadblock - Totals to the end of last month"</f>
        <v>OODLA WIRRA Roadblock - Totals to the end of last month</v>
      </c>
      <c r="D2" s="111"/>
      <c r="E2" s="111"/>
      <c r="F2" s="110"/>
    </row>
    <row r="3" spans="3:9" ht="15.6" thickBot="1" x14ac:dyDescent="0.3">
      <c r="E3" s="103"/>
    </row>
    <row r="4" spans="3:9" ht="15.6" thickBot="1" x14ac:dyDescent="0.3">
      <c r="C4" s="104"/>
      <c r="D4" s="105"/>
      <c r="E4" s="269"/>
      <c r="F4" s="105"/>
      <c r="G4" s="267" t="s">
        <v>97</v>
      </c>
      <c r="H4" s="109"/>
    </row>
    <row r="5" spans="3:9" ht="15.6" thickBot="1" x14ac:dyDescent="0.3">
      <c r="C5" s="104"/>
      <c r="D5" s="105"/>
      <c r="E5" s="105"/>
      <c r="F5" s="105"/>
      <c r="G5" s="106" t="s">
        <v>99</v>
      </c>
      <c r="H5" s="113"/>
    </row>
    <row r="6" spans="3:9" ht="15.6" thickBot="1" x14ac:dyDescent="0.3">
      <c r="C6" s="104"/>
      <c r="D6" s="105"/>
      <c r="E6" s="105"/>
      <c r="F6" s="105"/>
      <c r="G6" s="316" t="s">
        <v>113</v>
      </c>
      <c r="H6" s="113"/>
    </row>
    <row r="7" spans="3:9" ht="15.6" thickBot="1" x14ac:dyDescent="0.3">
      <c r="C7" s="104"/>
      <c r="D7" s="105"/>
      <c r="E7" s="105"/>
      <c r="F7" s="105"/>
      <c r="G7" s="106" t="s">
        <v>98</v>
      </c>
      <c r="H7" s="113"/>
    </row>
    <row r="8" spans="3:9" ht="15.6" thickBot="1" x14ac:dyDescent="0.3">
      <c r="C8" s="104"/>
      <c r="D8" s="105"/>
      <c r="E8" s="105"/>
      <c r="F8" s="105"/>
      <c r="G8" s="106" t="s">
        <v>32</v>
      </c>
      <c r="H8" s="113"/>
    </row>
    <row r="9" spans="3:9" ht="15.6" thickBot="1" x14ac:dyDescent="0.3">
      <c r="G9" s="107"/>
      <c r="H9" s="108"/>
    </row>
    <row r="10" spans="3:9" ht="15.6" thickBot="1" x14ac:dyDescent="0.3">
      <c r="C10" s="104"/>
      <c r="D10" s="105"/>
      <c r="E10" s="105"/>
      <c r="F10" s="105"/>
      <c r="G10" s="106" t="s">
        <v>41</v>
      </c>
      <c r="H10" s="109"/>
    </row>
    <row r="11" spans="3:9" ht="15.6" thickBot="1" x14ac:dyDescent="0.3">
      <c r="C11" s="104"/>
      <c r="D11" s="105"/>
      <c r="E11" s="105"/>
      <c r="F11" s="105"/>
      <c r="G11" s="106" t="s">
        <v>40</v>
      </c>
      <c r="H11" s="109"/>
    </row>
    <row r="12" spans="3:9" ht="15.6" thickBot="1" x14ac:dyDescent="0.3">
      <c r="C12" s="104"/>
      <c r="D12" s="105"/>
      <c r="E12" s="105"/>
      <c r="F12" s="105"/>
      <c r="G12" s="106" t="s">
        <v>33</v>
      </c>
      <c r="H12" s="112">
        <f>SUM(H10:H11)</f>
        <v>0</v>
      </c>
    </row>
    <row r="13" spans="3:9" ht="15.6" thickBot="1" x14ac:dyDescent="0.3">
      <c r="I13" s="107"/>
    </row>
    <row r="14" spans="3:9" ht="15.6" thickBot="1" x14ac:dyDescent="0.3">
      <c r="C14" s="104"/>
      <c r="D14" s="105"/>
      <c r="E14" s="105"/>
      <c r="F14" s="105"/>
      <c r="G14" s="106" t="s">
        <v>34</v>
      </c>
      <c r="H14" s="270"/>
    </row>
    <row r="15" spans="3:9" ht="15.6" thickBot="1" x14ac:dyDescent="0.3">
      <c r="C15" s="104"/>
      <c r="D15" s="105"/>
      <c r="E15" s="105"/>
      <c r="F15" s="105"/>
      <c r="G15" s="106" t="s">
        <v>35</v>
      </c>
      <c r="H15" s="270"/>
    </row>
    <row r="16" spans="3:9" ht="15.6" thickBot="1" x14ac:dyDescent="0.3">
      <c r="C16" s="104"/>
      <c r="D16" s="105"/>
      <c r="E16" s="105"/>
      <c r="F16" s="105"/>
      <c r="G16" s="106" t="s">
        <v>36</v>
      </c>
      <c r="H16" s="270"/>
    </row>
    <row r="17" spans="3:8" ht="15.6" thickBot="1" x14ac:dyDescent="0.3">
      <c r="C17" s="104"/>
      <c r="D17" s="105"/>
      <c r="E17" s="105"/>
      <c r="F17" s="105"/>
      <c r="G17" s="106" t="s">
        <v>37</v>
      </c>
      <c r="H17" s="270"/>
    </row>
    <row r="18" spans="3:8" ht="15.6" thickBot="1" x14ac:dyDescent="0.3">
      <c r="C18" s="104"/>
      <c r="D18" s="105"/>
      <c r="E18" s="105"/>
      <c r="F18" s="105"/>
      <c r="G18" s="106" t="s">
        <v>45</v>
      </c>
      <c r="H18" s="112">
        <f>SUM(H14:H17)</f>
        <v>0</v>
      </c>
    </row>
    <row r="19" spans="3:8" ht="15.6" thickBot="1" x14ac:dyDescent="0.3">
      <c r="C19" s="255"/>
      <c r="D19" s="255"/>
      <c r="E19" s="255"/>
      <c r="F19" s="255"/>
      <c r="G19" s="256"/>
      <c r="H19" s="257"/>
    </row>
    <row r="20" spans="3:8" ht="15.6" thickBot="1" x14ac:dyDescent="0.3">
      <c r="C20" s="104"/>
      <c r="D20" s="105"/>
      <c r="E20" s="105"/>
      <c r="F20" s="105"/>
      <c r="G20" s="248" t="s">
        <v>91</v>
      </c>
      <c r="H20" s="260"/>
    </row>
    <row r="21" spans="3:8" ht="13.8" thickBot="1" x14ac:dyDescent="0.3"/>
    <row r="22" spans="3:8" ht="15.6" thickBot="1" x14ac:dyDescent="0.3">
      <c r="C22" s="348" t="s">
        <v>87</v>
      </c>
      <c r="D22" s="349"/>
      <c r="E22" s="349"/>
      <c r="F22" s="349"/>
      <c r="G22" s="350"/>
      <c r="H22" s="249"/>
    </row>
  </sheetData>
  <sheetProtection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6"/>
    <col min="2" max="2" width="9.109375" style="236" customWidth="1"/>
    <col min="3" max="6" width="14.6640625" style="236" customWidth="1"/>
    <col min="7" max="16384" width="9.109375" style="236"/>
  </cols>
  <sheetData>
    <row r="1" spans="2:6" s="227" customFormat="1" x14ac:dyDescent="0.3"/>
    <row r="2" spans="2:6" s="227" customFormat="1" ht="23.4" x14ac:dyDescent="0.45">
      <c r="C2" s="250" t="s">
        <v>88</v>
      </c>
      <c r="D2" s="250"/>
    </row>
    <row r="3" spans="2:6" s="227" customFormat="1" ht="15" thickBot="1" x14ac:dyDescent="0.35"/>
    <row r="4" spans="2:6" s="227" customFormat="1" ht="15" thickTop="1" x14ac:dyDescent="0.3">
      <c r="B4" s="228" t="s">
        <v>81</v>
      </c>
      <c r="C4" s="251">
        <f>PBal -F5+F4</f>
        <v>0</v>
      </c>
      <c r="E4" s="228" t="s">
        <v>82</v>
      </c>
      <c r="F4" s="229">
        <f>SUM(E10:E34)</f>
        <v>0</v>
      </c>
    </row>
    <row r="5" spans="2:6" s="227" customFormat="1" ht="15" thickBot="1" x14ac:dyDescent="0.35">
      <c r="B5" s="230" t="s">
        <v>83</v>
      </c>
      <c r="C5" s="231">
        <f>PreviousFoodlandBalance</f>
        <v>0</v>
      </c>
      <c r="E5" s="230" t="s">
        <v>84</v>
      </c>
      <c r="F5" s="231">
        <f>SUM(D10:D34)</f>
        <v>0</v>
      </c>
    </row>
    <row r="6" spans="2:6" s="227" customFormat="1" ht="8.25" customHeight="1" thickTop="1" x14ac:dyDescent="0.3">
      <c r="B6" s="232"/>
      <c r="C6" s="272"/>
      <c r="E6" s="232"/>
      <c r="F6" s="233"/>
    </row>
    <row r="7" spans="2:6" s="234" customFormat="1" ht="8.25" customHeight="1" thickBot="1" x14ac:dyDescent="0.35">
      <c r="C7" s="273"/>
      <c r="F7" s="235"/>
    </row>
    <row r="8" spans="2:6" ht="15.6" thickTop="1" thickBot="1" x14ac:dyDescent="0.35"/>
    <row r="9" spans="2:6" ht="15.6" thickTop="1" thickBot="1" x14ac:dyDescent="0.35">
      <c r="C9" s="237" t="s">
        <v>85</v>
      </c>
      <c r="D9" s="271" t="s">
        <v>100</v>
      </c>
      <c r="E9" s="271" t="s">
        <v>101</v>
      </c>
      <c r="F9" s="238" t="s">
        <v>86</v>
      </c>
    </row>
    <row r="10" spans="2:6" ht="15" thickTop="1" x14ac:dyDescent="0.3">
      <c r="C10" s="239"/>
      <c r="D10" s="240"/>
      <c r="E10" s="240"/>
      <c r="F10" s="229" t="str">
        <f>IF(OR(D10&lt;&gt;0,E10&lt;&gt;0),PBal-D10+E10,"")</f>
        <v/>
      </c>
    </row>
    <row r="11" spans="2:6" x14ac:dyDescent="0.3">
      <c r="C11" s="241"/>
      <c r="D11" s="242"/>
      <c r="E11" s="242"/>
      <c r="F11" s="243" t="str">
        <f>IF(OR(D11&lt;&gt;0,E11&lt;&gt;0),F10-D11+E11,"")</f>
        <v/>
      </c>
    </row>
    <row r="12" spans="2:6" s="244" customFormat="1" x14ac:dyDescent="0.3">
      <c r="C12" s="245"/>
      <c r="D12" s="242"/>
      <c r="E12" s="242"/>
      <c r="F12" s="243" t="str">
        <f t="shared" ref="F12:F34" si="0">IF(OR(D12&lt;&gt;0,E12&lt;&gt;0),F11-D12+E12,"")</f>
        <v/>
      </c>
    </row>
    <row r="13" spans="2:6" s="244" customFormat="1" x14ac:dyDescent="0.3">
      <c r="C13" s="245"/>
      <c r="D13" s="242"/>
      <c r="E13" s="242"/>
      <c r="F13" s="243" t="str">
        <f t="shared" si="0"/>
        <v/>
      </c>
    </row>
    <row r="14" spans="2:6" s="244" customFormat="1" x14ac:dyDescent="0.3">
      <c r="C14" s="245"/>
      <c r="D14" s="242"/>
      <c r="E14" s="242"/>
      <c r="F14" s="243" t="str">
        <f t="shared" si="0"/>
        <v/>
      </c>
    </row>
    <row r="15" spans="2:6" x14ac:dyDescent="0.3">
      <c r="C15" s="241"/>
      <c r="D15" s="242"/>
      <c r="E15" s="242"/>
      <c r="F15" s="243" t="str">
        <f t="shared" si="0"/>
        <v/>
      </c>
    </row>
    <row r="16" spans="2:6" x14ac:dyDescent="0.3">
      <c r="C16" s="241"/>
      <c r="D16" s="242"/>
      <c r="E16" s="242"/>
      <c r="F16" s="243" t="str">
        <f t="shared" si="0"/>
        <v/>
      </c>
    </row>
    <row r="17" spans="3:6" s="244" customFormat="1" x14ac:dyDescent="0.3">
      <c r="C17" s="245"/>
      <c r="D17" s="242"/>
      <c r="E17" s="242"/>
      <c r="F17" s="243" t="str">
        <f t="shared" si="0"/>
        <v/>
      </c>
    </row>
    <row r="18" spans="3:6" s="244" customFormat="1" x14ac:dyDescent="0.3">
      <c r="C18" s="245"/>
      <c r="D18" s="242"/>
      <c r="E18" s="242"/>
      <c r="F18" s="243" t="str">
        <f t="shared" si="0"/>
        <v/>
      </c>
    </row>
    <row r="19" spans="3:6" s="244" customFormat="1" x14ac:dyDescent="0.3">
      <c r="C19" s="245"/>
      <c r="D19" s="242"/>
      <c r="E19" s="242"/>
      <c r="F19" s="243" t="str">
        <f t="shared" si="0"/>
        <v/>
      </c>
    </row>
    <row r="20" spans="3:6" x14ac:dyDescent="0.3">
      <c r="C20" s="241"/>
      <c r="D20" s="242"/>
      <c r="E20" s="242"/>
      <c r="F20" s="243" t="str">
        <f t="shared" si="0"/>
        <v/>
      </c>
    </row>
    <row r="21" spans="3:6" x14ac:dyDescent="0.3">
      <c r="C21" s="241"/>
      <c r="D21" s="242"/>
      <c r="E21" s="242"/>
      <c r="F21" s="243" t="str">
        <f t="shared" si="0"/>
        <v/>
      </c>
    </row>
    <row r="22" spans="3:6" x14ac:dyDescent="0.3">
      <c r="C22" s="241"/>
      <c r="D22" s="242"/>
      <c r="E22" s="242"/>
      <c r="F22" s="243" t="str">
        <f t="shared" si="0"/>
        <v/>
      </c>
    </row>
    <row r="23" spans="3:6" x14ac:dyDescent="0.3">
      <c r="C23" s="241"/>
      <c r="D23" s="242"/>
      <c r="E23" s="242"/>
      <c r="F23" s="243" t="str">
        <f t="shared" si="0"/>
        <v/>
      </c>
    </row>
    <row r="24" spans="3:6" x14ac:dyDescent="0.3">
      <c r="C24" s="241"/>
      <c r="D24" s="242"/>
      <c r="E24" s="242"/>
      <c r="F24" s="243" t="str">
        <f t="shared" si="0"/>
        <v/>
      </c>
    </row>
    <row r="25" spans="3:6" x14ac:dyDescent="0.3">
      <c r="C25" s="241"/>
      <c r="D25" s="242"/>
      <c r="E25" s="242"/>
      <c r="F25" s="243" t="str">
        <f t="shared" si="0"/>
        <v/>
      </c>
    </row>
    <row r="26" spans="3:6" x14ac:dyDescent="0.3">
      <c r="C26" s="241"/>
      <c r="D26" s="242"/>
      <c r="E26" s="242"/>
      <c r="F26" s="243" t="str">
        <f t="shared" si="0"/>
        <v/>
      </c>
    </row>
    <row r="27" spans="3:6" x14ac:dyDescent="0.3">
      <c r="C27" s="241"/>
      <c r="D27" s="242"/>
      <c r="E27" s="242"/>
      <c r="F27" s="243" t="str">
        <f t="shared" si="0"/>
        <v/>
      </c>
    </row>
    <row r="28" spans="3:6" x14ac:dyDescent="0.3">
      <c r="C28" s="241"/>
      <c r="D28" s="242"/>
      <c r="E28" s="242"/>
      <c r="F28" s="243" t="str">
        <f t="shared" si="0"/>
        <v/>
      </c>
    </row>
    <row r="29" spans="3:6" x14ac:dyDescent="0.3">
      <c r="C29" s="241"/>
      <c r="D29" s="242"/>
      <c r="E29" s="242"/>
      <c r="F29" s="243" t="str">
        <f t="shared" si="0"/>
        <v/>
      </c>
    </row>
    <row r="30" spans="3:6" x14ac:dyDescent="0.3">
      <c r="C30" s="241"/>
      <c r="D30" s="242"/>
      <c r="E30" s="242"/>
      <c r="F30" s="243" t="str">
        <f t="shared" si="0"/>
        <v/>
      </c>
    </row>
    <row r="31" spans="3:6" x14ac:dyDescent="0.3">
      <c r="C31" s="241"/>
      <c r="D31" s="242"/>
      <c r="E31" s="242"/>
      <c r="F31" s="243" t="str">
        <f t="shared" si="0"/>
        <v/>
      </c>
    </row>
    <row r="32" spans="3:6" x14ac:dyDescent="0.3">
      <c r="C32" s="241"/>
      <c r="D32" s="242"/>
      <c r="E32" s="242"/>
      <c r="F32" s="243" t="str">
        <f t="shared" si="0"/>
        <v/>
      </c>
    </row>
    <row r="33" spans="3:6" x14ac:dyDescent="0.3">
      <c r="C33" s="241"/>
      <c r="D33" s="242"/>
      <c r="E33" s="242"/>
      <c r="F33" s="243" t="str">
        <f t="shared" si="0"/>
        <v/>
      </c>
    </row>
    <row r="34" spans="3:6" ht="15" thickBot="1" x14ac:dyDescent="0.35">
      <c r="C34" s="246"/>
      <c r="D34" s="247"/>
      <c r="E34" s="247"/>
      <c r="F34" s="231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5" sqref="D5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9" t="str">
        <f>Location &amp;" Roadblock, Stock Totals - "&amp; Month &amp; ", " &amp; Year</f>
        <v>OODLA WIRRA Roadblock, Stock Totals - April, 2017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80" t="s">
        <v>25</v>
      </c>
      <c r="D5" s="76"/>
    </row>
    <row r="6" spans="1:6" x14ac:dyDescent="0.25">
      <c r="C6" s="81" t="s">
        <v>26</v>
      </c>
      <c r="D6" s="77"/>
    </row>
    <row r="7" spans="1:6" x14ac:dyDescent="0.25">
      <c r="C7" s="81" t="s">
        <v>27</v>
      </c>
      <c r="D7" s="77"/>
    </row>
    <row r="8" spans="1:6" ht="13.8" thickBot="1" x14ac:dyDescent="0.3">
      <c r="C8" s="82" t="s">
        <v>28</v>
      </c>
      <c r="D8" s="78"/>
    </row>
    <row r="9" spans="1:6" ht="16.8" thickTop="1" thickBot="1" x14ac:dyDescent="0.35">
      <c r="C9" s="83" t="s">
        <v>29</v>
      </c>
      <c r="D9" s="84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tabSelected="1" topLeftCell="A7" zoomScale="130" zoomScaleNormal="130" workbookViewId="0">
      <selection activeCell="N28" sqref="N28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5">
      <c r="E6" s="89"/>
      <c r="F6" s="89"/>
      <c r="H6" s="90"/>
      <c r="I6" s="89"/>
      <c r="J6" s="89"/>
    </row>
    <row r="7" spans="3:13" ht="15.6" x14ac:dyDescent="0.25">
      <c r="E7" s="89"/>
      <c r="F7" s="89"/>
      <c r="H7" s="90" t="str">
        <f xml:space="preserve"> Month &amp; ", " &amp; Year &amp; " - Monthly Report"</f>
        <v>April, 2017 - Monthly Report</v>
      </c>
      <c r="I7" s="89"/>
      <c r="J7" s="89"/>
    </row>
    <row r="8" spans="3:13" ht="7.5" customHeight="1" thickBot="1" x14ac:dyDescent="0.35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5">
      <c r="E9" s="38"/>
    </row>
    <row r="10" spans="3:13" ht="15.6" x14ac:dyDescent="0.3">
      <c r="E10" s="92" t="s">
        <v>43</v>
      </c>
    </row>
    <row r="11" spans="3:13" ht="6" customHeight="1" thickBot="1" x14ac:dyDescent="0.3">
      <c r="E11" s="38"/>
    </row>
    <row r="12" spans="3:13" ht="15.6" thickBot="1" x14ac:dyDescent="0.3">
      <c r="G12" s="85" t="s">
        <v>96</v>
      </c>
      <c r="H12" s="93">
        <f>TotalCars + TotalCommVehicles</f>
        <v>0</v>
      </c>
      <c r="K12" s="85" t="s">
        <v>30</v>
      </c>
      <c r="L12" s="93">
        <f>TotalVehicles + PrevTotalVehicles</f>
        <v>0</v>
      </c>
    </row>
    <row r="13" spans="3:13" ht="15.6" thickBot="1" x14ac:dyDescent="0.3">
      <c r="G13" s="85"/>
      <c r="H13" s="99"/>
      <c r="K13" s="85"/>
      <c r="L13" s="99"/>
    </row>
    <row r="14" spans="3:13" ht="15.6" thickBot="1" x14ac:dyDescent="0.3">
      <c r="G14" s="85" t="s">
        <v>95</v>
      </c>
      <c r="H14" s="268">
        <f>TotalCars</f>
        <v>0</v>
      </c>
      <c r="K14" s="85" t="s">
        <v>30</v>
      </c>
      <c r="L14" s="268">
        <f>TotalCars+PrevTotalCars</f>
        <v>0</v>
      </c>
    </row>
    <row r="15" spans="3:13" ht="15.6" thickBot="1" x14ac:dyDescent="0.3">
      <c r="G15" s="85"/>
      <c r="H15" s="369"/>
      <c r="K15" s="85"/>
      <c r="L15" s="369"/>
    </row>
    <row r="16" spans="3:13" ht="15.6" thickBot="1" x14ac:dyDescent="0.3">
      <c r="G16" s="85" t="s">
        <v>114</v>
      </c>
      <c r="H16" s="268">
        <f>TotalCars</f>
        <v>0</v>
      </c>
      <c r="K16" s="85" t="s">
        <v>30</v>
      </c>
      <c r="L16" s="268">
        <f>TotalCars+PrevTotalCars</f>
        <v>0</v>
      </c>
    </row>
    <row r="17" spans="3:13" ht="15.6" thickBot="1" x14ac:dyDescent="0.3">
      <c r="G17" s="85"/>
      <c r="K17" s="86"/>
      <c r="L17" s="86"/>
    </row>
    <row r="18" spans="3:13" ht="15.6" thickBot="1" x14ac:dyDescent="0.3">
      <c r="G18" s="85" t="s">
        <v>31</v>
      </c>
      <c r="H18" s="93">
        <f xml:space="preserve"> TotalCommVehicles</f>
        <v>0</v>
      </c>
      <c r="K18" s="85" t="s">
        <v>30</v>
      </c>
      <c r="L18" s="93">
        <f>TotalCommVehicles+PrevTotalCommVehicles</f>
        <v>0</v>
      </c>
    </row>
    <row r="19" spans="3:13" ht="15.6" thickBot="1" x14ac:dyDescent="0.3">
      <c r="G19" s="85"/>
      <c r="K19" s="86"/>
      <c r="L19" s="86"/>
    </row>
    <row r="20" spans="3:13" ht="15.6" thickBot="1" x14ac:dyDescent="0.3">
      <c r="G20" s="85" t="s">
        <v>32</v>
      </c>
      <c r="H20" s="93">
        <f xml:space="preserve"> TotalVehiclesWF</f>
        <v>0</v>
      </c>
      <c r="K20" s="85" t="s">
        <v>30</v>
      </c>
      <c r="L20" s="93">
        <f>TotalVehiclesWF+PrevTotalVehiclesWF</f>
        <v>0</v>
      </c>
    </row>
    <row r="21" spans="3:13" ht="15.6" thickBot="1" x14ac:dyDescent="0.3">
      <c r="G21" s="85"/>
      <c r="K21" s="86"/>
      <c r="L21" s="86"/>
    </row>
    <row r="22" spans="3:13" ht="15.6" thickBot="1" x14ac:dyDescent="0.3">
      <c r="G22" s="85" t="s">
        <v>33</v>
      </c>
      <c r="H22" s="93">
        <f>TotalFruitConfiscated</f>
        <v>0</v>
      </c>
      <c r="K22" s="85" t="s">
        <v>30</v>
      </c>
      <c r="L22" s="114">
        <f>TotalFruitConfiscated+PrevTotalFruitConfiscated</f>
        <v>0</v>
      </c>
    </row>
    <row r="23" spans="3:13" ht="6.75" customHeight="1" x14ac:dyDescent="0.3">
      <c r="G23" s="85"/>
      <c r="H23" s="99"/>
      <c r="K23" s="85"/>
      <c r="L23" s="100"/>
    </row>
    <row r="24" spans="3:13" ht="4.5" customHeight="1" x14ac:dyDescent="0.25">
      <c r="C24" s="94"/>
      <c r="D24" s="94"/>
      <c r="E24" s="94"/>
      <c r="F24" s="94"/>
      <c r="G24" s="95"/>
      <c r="H24" s="94"/>
      <c r="I24" s="94"/>
      <c r="J24" s="94"/>
      <c r="K24" s="95"/>
      <c r="L24" s="95"/>
      <c r="M24" s="94"/>
    </row>
    <row r="25" spans="3:13" ht="6.75" customHeight="1" x14ac:dyDescent="0.25">
      <c r="G25" s="85"/>
      <c r="K25" s="85"/>
      <c r="L25" s="85"/>
    </row>
    <row r="26" spans="3:13" ht="15.6" x14ac:dyDescent="0.3">
      <c r="E26" s="92" t="s">
        <v>39</v>
      </c>
      <c r="I26" s="38"/>
    </row>
    <row r="27" spans="3:13" ht="9.75" customHeight="1" thickBot="1" x14ac:dyDescent="0.3">
      <c r="E27" s="38"/>
      <c r="K27" s="99"/>
    </row>
    <row r="28" spans="3:13" ht="15.6" thickBot="1" x14ac:dyDescent="0.3">
      <c r="E28" s="85" t="s">
        <v>41</v>
      </c>
      <c r="F28" s="93">
        <f>FFlyHostFruit</f>
        <v>0</v>
      </c>
      <c r="K28" s="85" t="s">
        <v>30</v>
      </c>
      <c r="L28" s="93">
        <f>PrevTotalHostFruit + FFlyHostFruit</f>
        <v>0</v>
      </c>
    </row>
    <row r="29" spans="3:13" ht="10.5" customHeight="1" thickBot="1" x14ac:dyDescent="0.3">
      <c r="E29" s="85"/>
    </row>
    <row r="30" spans="3:13" ht="15.6" thickBot="1" x14ac:dyDescent="0.3">
      <c r="E30" s="85" t="s">
        <v>40</v>
      </c>
      <c r="F30" s="93">
        <f>NonFFlyHostFruit</f>
        <v>0</v>
      </c>
      <c r="K30" s="85" t="s">
        <v>30</v>
      </c>
      <c r="L30" s="93">
        <f>NonFFlyHostFruit + PrevTotalNonHostFruit</f>
        <v>0</v>
      </c>
    </row>
    <row r="31" spans="3:13" ht="4.5" customHeight="1" x14ac:dyDescent="0.25">
      <c r="C31" s="94"/>
      <c r="D31" s="94"/>
      <c r="E31" s="94"/>
      <c r="F31" s="94"/>
      <c r="G31" s="95"/>
      <c r="H31" s="94"/>
      <c r="I31" s="94"/>
      <c r="J31" s="94"/>
      <c r="K31" s="94"/>
      <c r="L31" s="94"/>
      <c r="M31" s="94"/>
    </row>
    <row r="32" spans="3:13" ht="7.5" customHeight="1" x14ac:dyDescent="0.25"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</row>
    <row r="33" spans="3:13" ht="15.6" x14ac:dyDescent="0.3">
      <c r="E33" s="101" t="s">
        <v>42</v>
      </c>
    </row>
    <row r="34" spans="3:13" ht="15.6" thickBot="1" x14ac:dyDescent="0.3">
      <c r="E34" s="38"/>
    </row>
    <row r="35" spans="3:13" ht="15.6" thickBot="1" x14ac:dyDescent="0.3">
      <c r="E35" s="85" t="s">
        <v>34</v>
      </c>
      <c r="F35" s="93">
        <f>Sheep</f>
        <v>0</v>
      </c>
      <c r="K35" s="85" t="s">
        <v>30</v>
      </c>
      <c r="L35" s="253">
        <f>PrevSheep + Sheep</f>
        <v>0</v>
      </c>
    </row>
    <row r="36" spans="3:13" ht="8.4" customHeight="1" thickBot="1" x14ac:dyDescent="0.3">
      <c r="E36" s="85"/>
      <c r="K36" s="86"/>
    </row>
    <row r="37" spans="3:13" ht="15.6" thickBot="1" x14ac:dyDescent="0.3">
      <c r="E37" s="85" t="s">
        <v>35</v>
      </c>
      <c r="F37" s="93">
        <f>Cattle</f>
        <v>0</v>
      </c>
      <c r="K37" s="85" t="s">
        <v>30</v>
      </c>
      <c r="L37" s="253">
        <f>PrevCattle + Cattle</f>
        <v>0</v>
      </c>
    </row>
    <row r="38" spans="3:13" ht="8.4" customHeight="1" thickBot="1" x14ac:dyDescent="0.3">
      <c r="E38" s="85"/>
      <c r="K38" s="86"/>
    </row>
    <row r="39" spans="3:13" ht="15.6" thickBot="1" x14ac:dyDescent="0.3">
      <c r="E39" s="85" t="s">
        <v>36</v>
      </c>
      <c r="F39" s="93">
        <f xml:space="preserve"> Pigs</f>
        <v>0</v>
      </c>
      <c r="K39" s="85" t="s">
        <v>30</v>
      </c>
      <c r="L39" s="253">
        <f>PrevPigs + Pigs</f>
        <v>0</v>
      </c>
    </row>
    <row r="40" spans="3:13" ht="8.4" customHeight="1" thickBot="1" x14ac:dyDescent="0.3">
      <c r="E40" s="85"/>
      <c r="K40" s="86"/>
    </row>
    <row r="41" spans="3:13" ht="15.6" thickBot="1" x14ac:dyDescent="0.3">
      <c r="E41" s="85" t="s">
        <v>37</v>
      </c>
      <c r="F41" s="93">
        <f>Other</f>
        <v>0</v>
      </c>
      <c r="K41" s="85" t="s">
        <v>30</v>
      </c>
      <c r="L41" s="253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4"/>
      <c r="D43" s="94"/>
      <c r="E43" s="96"/>
      <c r="F43" s="94"/>
      <c r="G43" s="94"/>
      <c r="H43" s="94"/>
      <c r="I43" s="94"/>
      <c r="J43" s="94"/>
      <c r="K43" s="94"/>
      <c r="L43" s="94"/>
      <c r="M43" s="94"/>
    </row>
    <row r="44" spans="3:13" ht="6.75" customHeight="1" x14ac:dyDescent="0.25">
      <c r="C44" s="97"/>
      <c r="D44" s="97"/>
      <c r="E44" s="119"/>
      <c r="F44" s="97"/>
      <c r="G44" s="97"/>
      <c r="H44" s="97"/>
      <c r="I44" s="97"/>
      <c r="J44" s="97"/>
      <c r="K44" s="97"/>
      <c r="L44" s="97"/>
      <c r="M44" s="97"/>
    </row>
    <row r="45" spans="3:13" ht="15.6" x14ac:dyDescent="0.3">
      <c r="C45" s="97"/>
      <c r="D45" s="97"/>
      <c r="E45" s="254" t="s">
        <v>89</v>
      </c>
      <c r="F45" s="97"/>
      <c r="G45" s="97"/>
      <c r="H45" s="97"/>
      <c r="I45" s="97"/>
      <c r="J45" s="97"/>
      <c r="K45" s="97"/>
      <c r="L45" s="97"/>
      <c r="M45" s="97"/>
    </row>
    <row r="46" spans="3:13" ht="9.75" customHeight="1" thickBot="1" x14ac:dyDescent="0.3">
      <c r="C46" s="97"/>
      <c r="D46" s="97"/>
      <c r="E46" s="119"/>
      <c r="F46" s="97"/>
      <c r="G46" s="97"/>
      <c r="H46" s="97"/>
      <c r="I46" s="97"/>
      <c r="J46" s="97"/>
      <c r="K46" s="97"/>
      <c r="L46" s="97"/>
      <c r="M46" s="97"/>
    </row>
    <row r="47" spans="3:13" ht="15.6" thickBot="1" x14ac:dyDescent="0.3">
      <c r="C47" s="97"/>
      <c r="D47" s="97"/>
      <c r="E47" s="252" t="s">
        <v>90</v>
      </c>
      <c r="F47" s="368"/>
      <c r="G47" s="97"/>
      <c r="H47" s="97"/>
      <c r="I47" s="97"/>
      <c r="J47" s="97"/>
      <c r="K47" s="85" t="s">
        <v>30</v>
      </c>
      <c r="L47" s="253">
        <f>PrevFruitFly + FruitFly</f>
        <v>0</v>
      </c>
      <c r="M47" s="97"/>
    </row>
    <row r="48" spans="3:13" ht="7.5" customHeight="1" x14ac:dyDescent="0.25">
      <c r="C48" s="97"/>
      <c r="D48" s="97"/>
      <c r="E48" s="252"/>
      <c r="F48" s="97"/>
      <c r="G48" s="97"/>
      <c r="H48" s="97"/>
      <c r="I48" s="97"/>
      <c r="J48" s="97"/>
      <c r="K48" s="85"/>
      <c r="L48" s="97"/>
      <c r="M48" s="97"/>
    </row>
    <row r="49" spans="3:13" ht="9" customHeight="1" x14ac:dyDescent="0.25">
      <c r="C49" s="303"/>
      <c r="D49" s="303"/>
      <c r="E49" s="304"/>
      <c r="F49" s="303"/>
      <c r="G49" s="303"/>
      <c r="H49" s="303"/>
      <c r="I49" s="303"/>
      <c r="J49" s="303"/>
      <c r="K49" s="304"/>
      <c r="L49" s="303"/>
      <c r="M49" s="303"/>
    </row>
    <row r="50" spans="3:13" ht="14.25" customHeight="1" x14ac:dyDescent="0.3">
      <c r="C50" s="97"/>
      <c r="D50" s="97"/>
      <c r="E50" s="254" t="s">
        <v>107</v>
      </c>
      <c r="F50" s="97"/>
      <c r="G50" s="97"/>
      <c r="H50" s="97"/>
      <c r="I50" s="97"/>
      <c r="J50" s="97"/>
      <c r="K50" s="252"/>
      <c r="L50" s="97"/>
      <c r="M50" s="97"/>
    </row>
    <row r="51" spans="3:13" ht="9" customHeight="1" thickBot="1" x14ac:dyDescent="0.3">
      <c r="C51" s="97"/>
      <c r="D51" s="97"/>
      <c r="E51" s="252"/>
      <c r="F51" s="97"/>
      <c r="G51" s="97"/>
      <c r="H51" s="97"/>
      <c r="I51" s="97"/>
      <c r="J51" s="97"/>
      <c r="K51" s="252"/>
      <c r="L51" s="97"/>
      <c r="M51" s="97"/>
    </row>
    <row r="52" spans="3:13" ht="15" customHeight="1" thickBot="1" x14ac:dyDescent="0.3">
      <c r="D52" s="97"/>
      <c r="E52" s="252" t="s">
        <v>108</v>
      </c>
      <c r="F52" s="253">
        <f>MAX(ShiftStatsTotal)</f>
        <v>0</v>
      </c>
      <c r="G52" s="97"/>
      <c r="H52" s="305" t="s">
        <v>109</v>
      </c>
      <c r="I52" s="253">
        <f>MAX(ShiftStats)</f>
        <v>0</v>
      </c>
      <c r="K52" s="252" t="s">
        <v>110</v>
      </c>
      <c r="L52" s="253">
        <f>COUNTIF(ShiftStats,"&gt;199")</f>
        <v>0</v>
      </c>
      <c r="M52" s="97"/>
    </row>
    <row r="53" spans="3:13" ht="9" customHeight="1" x14ac:dyDescent="0.25">
      <c r="C53" s="97"/>
      <c r="D53" s="97"/>
      <c r="E53" s="252"/>
      <c r="F53" s="97"/>
      <c r="G53" s="97"/>
      <c r="H53" s="97"/>
      <c r="I53" s="97"/>
      <c r="J53" s="97"/>
      <c r="K53" s="252"/>
      <c r="L53" s="97"/>
      <c r="M53" s="97"/>
    </row>
    <row r="54" spans="3:13" ht="3" customHeight="1" x14ac:dyDescent="0.25">
      <c r="C54" s="94"/>
      <c r="D54" s="94"/>
      <c r="E54" s="95"/>
      <c r="F54" s="94"/>
      <c r="G54" s="94"/>
      <c r="H54" s="94"/>
      <c r="I54" s="94"/>
      <c r="J54" s="94"/>
      <c r="K54" s="95"/>
      <c r="L54" s="94"/>
      <c r="M54" s="94"/>
    </row>
    <row r="55" spans="3:13" ht="15" x14ac:dyDescent="0.25">
      <c r="E55" s="38"/>
    </row>
    <row r="56" spans="3:13" ht="15.6" x14ac:dyDescent="0.3">
      <c r="E56" s="101" t="s">
        <v>44</v>
      </c>
    </row>
    <row r="57" spans="3:13" ht="13.8" thickBot="1" x14ac:dyDescent="0.3">
      <c r="D57" t="s">
        <v>38</v>
      </c>
    </row>
    <row r="58" spans="3:13" x14ac:dyDescent="0.25">
      <c r="D58" s="351"/>
      <c r="E58" s="352"/>
      <c r="F58" s="352"/>
      <c r="G58" s="352"/>
      <c r="H58" s="352"/>
      <c r="I58" s="352"/>
      <c r="J58" s="352"/>
      <c r="K58" s="352"/>
      <c r="L58" s="353"/>
    </row>
    <row r="59" spans="3:13" x14ac:dyDescent="0.25">
      <c r="D59" s="354"/>
      <c r="E59" s="355"/>
      <c r="F59" s="355"/>
      <c r="G59" s="355"/>
      <c r="H59" s="355"/>
      <c r="I59" s="355"/>
      <c r="J59" s="355"/>
      <c r="K59" s="355"/>
      <c r="L59" s="356"/>
    </row>
    <row r="60" spans="3:13" x14ac:dyDescent="0.25">
      <c r="D60" s="354"/>
      <c r="E60" s="355"/>
      <c r="F60" s="355"/>
      <c r="G60" s="355"/>
      <c r="H60" s="355"/>
      <c r="I60" s="355"/>
      <c r="J60" s="355"/>
      <c r="K60" s="355"/>
      <c r="L60" s="356"/>
    </row>
    <row r="61" spans="3:13" x14ac:dyDescent="0.25">
      <c r="D61" s="354"/>
      <c r="E61" s="355"/>
      <c r="F61" s="355"/>
      <c r="G61" s="355"/>
      <c r="H61" s="355"/>
      <c r="I61" s="355"/>
      <c r="J61" s="355"/>
      <c r="K61" s="355"/>
      <c r="L61" s="356"/>
    </row>
    <row r="62" spans="3:13" x14ac:dyDescent="0.25">
      <c r="D62" s="354"/>
      <c r="E62" s="355"/>
      <c r="F62" s="355"/>
      <c r="G62" s="355"/>
      <c r="H62" s="355"/>
      <c r="I62" s="355"/>
      <c r="J62" s="355"/>
      <c r="K62" s="355"/>
      <c r="L62" s="356"/>
    </row>
    <row r="63" spans="3:13" x14ac:dyDescent="0.25">
      <c r="D63" s="354"/>
      <c r="E63" s="355"/>
      <c r="F63" s="355"/>
      <c r="G63" s="355"/>
      <c r="H63" s="355"/>
      <c r="I63" s="355"/>
      <c r="J63" s="355"/>
      <c r="K63" s="355"/>
      <c r="L63" s="356"/>
    </row>
    <row r="64" spans="3:13" x14ac:dyDescent="0.25">
      <c r="D64" s="354"/>
      <c r="E64" s="355"/>
      <c r="F64" s="355"/>
      <c r="G64" s="355"/>
      <c r="H64" s="355"/>
      <c r="I64" s="355"/>
      <c r="J64" s="355"/>
      <c r="K64" s="355"/>
      <c r="L64" s="356"/>
    </row>
    <row r="65" spans="3:13" x14ac:dyDescent="0.25">
      <c r="D65" s="354"/>
      <c r="E65" s="355"/>
      <c r="F65" s="355"/>
      <c r="G65" s="355"/>
      <c r="H65" s="355"/>
      <c r="I65" s="355"/>
      <c r="J65" s="355"/>
      <c r="K65" s="355"/>
      <c r="L65" s="356"/>
    </row>
    <row r="66" spans="3:13" x14ac:dyDescent="0.25">
      <c r="D66" s="354"/>
      <c r="E66" s="355"/>
      <c r="F66" s="355"/>
      <c r="G66" s="355"/>
      <c r="H66" s="355"/>
      <c r="I66" s="355"/>
      <c r="J66" s="355"/>
      <c r="K66" s="355"/>
      <c r="L66" s="356"/>
    </row>
    <row r="67" spans="3:13" x14ac:dyDescent="0.25">
      <c r="D67" s="354"/>
      <c r="E67" s="355"/>
      <c r="F67" s="355"/>
      <c r="G67" s="355"/>
      <c r="H67" s="355"/>
      <c r="I67" s="355"/>
      <c r="J67" s="355"/>
      <c r="K67" s="355"/>
      <c r="L67" s="356"/>
    </row>
    <row r="68" spans="3:13" ht="13.8" thickBot="1" x14ac:dyDescent="0.3">
      <c r="D68" s="357"/>
      <c r="E68" s="358"/>
      <c r="F68" s="358"/>
      <c r="G68" s="358"/>
      <c r="H68" s="358"/>
      <c r="I68" s="358"/>
      <c r="J68" s="358"/>
      <c r="K68" s="358"/>
      <c r="L68" s="359"/>
    </row>
    <row r="69" spans="3:13" ht="13.8" x14ac:dyDescent="0.25">
      <c r="C69" s="98"/>
      <c r="D69" s="258"/>
      <c r="E69" s="258"/>
      <c r="F69" s="258"/>
      <c r="G69" s="258"/>
      <c r="H69" s="258"/>
      <c r="I69" s="258"/>
      <c r="J69" s="258"/>
      <c r="K69" s="258"/>
      <c r="L69" s="258"/>
      <c r="M69" s="98"/>
    </row>
    <row r="70" spans="3:13" ht="13.8" x14ac:dyDescent="0.25">
      <c r="C70" s="98"/>
      <c r="D70" s="258"/>
      <c r="E70" s="258"/>
      <c r="F70" s="258"/>
      <c r="G70" s="258"/>
      <c r="H70" s="258"/>
      <c r="I70" s="258"/>
      <c r="J70" s="258"/>
      <c r="K70" s="258"/>
      <c r="L70" s="258"/>
      <c r="M70" s="98"/>
    </row>
    <row r="71" spans="3:13" ht="13.8" x14ac:dyDescent="0.25">
      <c r="C71" s="98"/>
      <c r="D71" s="258"/>
      <c r="E71" s="258"/>
      <c r="F71" s="258"/>
      <c r="G71" s="258"/>
      <c r="H71" s="258"/>
      <c r="I71" s="258"/>
      <c r="J71" s="258"/>
      <c r="K71" s="258"/>
      <c r="L71" s="258"/>
      <c r="M71" s="98"/>
    </row>
    <row r="72" spans="3:13" x14ac:dyDescent="0.25">
      <c r="C72" s="98"/>
      <c r="D72" s="259"/>
      <c r="E72" s="259"/>
      <c r="F72" s="259"/>
      <c r="G72" s="259"/>
      <c r="H72" s="259"/>
      <c r="I72" s="259"/>
      <c r="J72" s="259"/>
      <c r="K72" s="259"/>
      <c r="L72" s="259"/>
      <c r="M72" s="98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61" zoomScale="189" zoomScaleNormal="189" workbookViewId="0">
      <selection activeCell="Q4" sqref="Q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9" customFormat="1" ht="6" customHeight="1" x14ac:dyDescent="0.25"/>
    <row r="2" spans="1:86" s="219" customFormat="1" ht="7.5" customHeight="1" x14ac:dyDescent="0.25"/>
    <row r="3" spans="1:86" s="219" customFormat="1" ht="6" customHeight="1" thickBot="1" x14ac:dyDescent="0.3"/>
    <row r="4" spans="1:86" s="219" customFormat="1" ht="14.4" thickTop="1" thickBot="1" x14ac:dyDescent="0.3">
      <c r="D4" s="226" t="s">
        <v>60</v>
      </c>
      <c r="E4" s="224">
        <v>1</v>
      </c>
      <c r="G4" s="220" t="b">
        <v>1</v>
      </c>
    </row>
    <row r="5" spans="1:86" s="219" customFormat="1" ht="21.6" customHeight="1" thickTop="1" thickBot="1" x14ac:dyDescent="0.3">
      <c r="G5" s="306" t="b">
        <v>1</v>
      </c>
    </row>
    <row r="6" spans="1:86" s="131" customFormat="1" ht="25.2" thickTop="1" thickBot="1" x14ac:dyDescent="0.3">
      <c r="A6" s="219"/>
      <c r="B6" s="219"/>
      <c r="C6" s="219"/>
      <c r="D6" s="132" t="s">
        <v>48</v>
      </c>
      <c r="E6" s="133" t="s">
        <v>1</v>
      </c>
      <c r="F6" s="133" t="s">
        <v>2</v>
      </c>
      <c r="G6" s="133" t="s">
        <v>3</v>
      </c>
      <c r="H6" s="133" t="s">
        <v>4</v>
      </c>
      <c r="I6" s="133" t="s">
        <v>5</v>
      </c>
      <c r="J6" s="133" t="s">
        <v>49</v>
      </c>
      <c r="K6" s="134" t="s">
        <v>7</v>
      </c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219"/>
      <c r="CB6" s="219"/>
      <c r="CC6" s="219"/>
      <c r="CD6" s="219"/>
      <c r="CE6" s="219"/>
      <c r="CF6" s="219"/>
      <c r="CG6" s="219"/>
      <c r="CH6" s="219"/>
    </row>
    <row r="7" spans="1:86" s="131" customFormat="1" ht="14.4" thickBot="1" x14ac:dyDescent="0.3">
      <c r="A7" s="219"/>
      <c r="B7" s="219"/>
      <c r="C7" s="219"/>
      <c r="D7" s="135" t="s">
        <v>50</v>
      </c>
      <c r="E7" s="145">
        <f t="shared" ref="E7:G7" si="0">E26+E44+E62</f>
        <v>0</v>
      </c>
      <c r="F7" s="145">
        <f t="shared" si="0"/>
        <v>0</v>
      </c>
      <c r="G7" s="145">
        <f t="shared" si="0"/>
        <v>0</v>
      </c>
      <c r="H7" s="145">
        <f t="shared" ref="H7:J7" si="1">H26+H44+H62</f>
        <v>0</v>
      </c>
      <c r="I7" s="145">
        <f t="shared" si="1"/>
        <v>0</v>
      </c>
      <c r="J7" s="146">
        <f t="shared" si="1"/>
        <v>0</v>
      </c>
      <c r="K7" s="139">
        <f>SUM(E7:J7)</f>
        <v>0</v>
      </c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19"/>
      <c r="CB7" s="219"/>
      <c r="CC7" s="219"/>
      <c r="CD7" s="219"/>
      <c r="CE7" s="219"/>
      <c r="CF7" s="219"/>
      <c r="CG7" s="219"/>
      <c r="CH7" s="219"/>
    </row>
    <row r="8" spans="1:86" s="131" customFormat="1" ht="14.4" thickBot="1" x14ac:dyDescent="0.3">
      <c r="A8" s="219"/>
      <c r="B8" s="219"/>
      <c r="C8" s="219"/>
      <c r="D8" s="135" t="s">
        <v>51</v>
      </c>
      <c r="E8" s="145">
        <f t="shared" ref="E8:J8" si="2">E27+E45+E63</f>
        <v>0</v>
      </c>
      <c r="F8" s="145">
        <f t="shared" si="2"/>
        <v>0</v>
      </c>
      <c r="G8" s="145">
        <f t="shared" si="2"/>
        <v>0</v>
      </c>
      <c r="H8" s="145">
        <f t="shared" si="2"/>
        <v>0</v>
      </c>
      <c r="I8" s="145">
        <f t="shared" si="2"/>
        <v>0</v>
      </c>
      <c r="J8" s="146">
        <f t="shared" si="2"/>
        <v>0</v>
      </c>
      <c r="K8" s="139">
        <f t="shared" ref="K8:K17" si="3">SUM(E8:J8)</f>
        <v>0</v>
      </c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219"/>
      <c r="CD8" s="219"/>
      <c r="CE8" s="219"/>
      <c r="CF8" s="219"/>
      <c r="CG8" s="219"/>
      <c r="CH8" s="219"/>
    </row>
    <row r="9" spans="1:86" s="131" customFormat="1" ht="14.4" thickBot="1" x14ac:dyDescent="0.3">
      <c r="A9" s="219"/>
      <c r="B9" s="219"/>
      <c r="C9" s="219"/>
      <c r="D9" s="135" t="s">
        <v>112</v>
      </c>
      <c r="E9" s="145">
        <f t="shared" ref="E9:I10" si="4">E28+E46+E64</f>
        <v>0</v>
      </c>
      <c r="F9" s="145">
        <f t="shared" si="4"/>
        <v>0</v>
      </c>
      <c r="G9" s="145">
        <f t="shared" si="4"/>
        <v>0</v>
      </c>
      <c r="H9" s="145">
        <f t="shared" si="4"/>
        <v>0</v>
      </c>
      <c r="I9" s="145">
        <f t="shared" si="4"/>
        <v>0</v>
      </c>
      <c r="J9" s="146">
        <f t="shared" ref="J9:J10" si="5">J28+J46+J64</f>
        <v>0</v>
      </c>
      <c r="K9" s="139">
        <f t="shared" si="3"/>
        <v>0</v>
      </c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  <c r="BR9" s="219"/>
      <c r="BS9" s="219"/>
      <c r="BT9" s="219"/>
      <c r="BU9" s="219"/>
      <c r="BV9" s="219"/>
      <c r="BW9" s="219"/>
      <c r="BX9" s="219"/>
      <c r="BY9" s="219"/>
      <c r="BZ9" s="219"/>
      <c r="CA9" s="219"/>
      <c r="CB9" s="219"/>
      <c r="CC9" s="219"/>
      <c r="CD9" s="219"/>
      <c r="CE9" s="219"/>
      <c r="CF9" s="219"/>
      <c r="CG9" s="219"/>
      <c r="CH9" s="219"/>
    </row>
    <row r="10" spans="1:86" s="131" customFormat="1" ht="14.4" thickBot="1" x14ac:dyDescent="0.3">
      <c r="A10" s="219"/>
      <c r="B10" s="219"/>
      <c r="C10" s="219"/>
      <c r="D10" s="135" t="s">
        <v>51</v>
      </c>
      <c r="E10" s="145">
        <f t="shared" si="4"/>
        <v>0</v>
      </c>
      <c r="F10" s="145">
        <f t="shared" si="4"/>
        <v>0</v>
      </c>
      <c r="G10" s="145">
        <f t="shared" si="4"/>
        <v>0</v>
      </c>
      <c r="H10" s="145">
        <f t="shared" si="4"/>
        <v>0</v>
      </c>
      <c r="I10" s="145">
        <f t="shared" si="4"/>
        <v>0</v>
      </c>
      <c r="J10" s="146">
        <f t="shared" si="5"/>
        <v>0</v>
      </c>
      <c r="K10" s="139">
        <f t="shared" si="3"/>
        <v>0</v>
      </c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</row>
    <row r="11" spans="1:86" s="131" customFormat="1" ht="14.4" thickBot="1" x14ac:dyDescent="0.3">
      <c r="A11" s="219"/>
      <c r="B11" s="219"/>
      <c r="C11" s="219"/>
      <c r="D11" s="135" t="s">
        <v>52</v>
      </c>
      <c r="E11" s="145">
        <f t="shared" ref="E11:J14" si="6">E30+E48+E66</f>
        <v>0</v>
      </c>
      <c r="F11" s="145">
        <f t="shared" si="6"/>
        <v>0</v>
      </c>
      <c r="G11" s="145">
        <f t="shared" si="6"/>
        <v>0</v>
      </c>
      <c r="H11" s="145">
        <f t="shared" si="6"/>
        <v>0</v>
      </c>
      <c r="I11" s="145">
        <f t="shared" si="6"/>
        <v>0</v>
      </c>
      <c r="J11" s="146">
        <f t="shared" si="6"/>
        <v>0</v>
      </c>
      <c r="K11" s="139">
        <f t="shared" si="3"/>
        <v>0</v>
      </c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</row>
    <row r="12" spans="1:86" s="131" customFormat="1" ht="14.4" thickBot="1" x14ac:dyDescent="0.3">
      <c r="A12" s="219"/>
      <c r="B12" s="219"/>
      <c r="C12" s="219"/>
      <c r="D12" s="135" t="s">
        <v>51</v>
      </c>
      <c r="E12" s="145">
        <f t="shared" si="6"/>
        <v>0</v>
      </c>
      <c r="F12" s="145">
        <f t="shared" si="6"/>
        <v>0</v>
      </c>
      <c r="G12" s="145">
        <f t="shared" si="6"/>
        <v>0</v>
      </c>
      <c r="H12" s="145">
        <f t="shared" si="6"/>
        <v>0</v>
      </c>
      <c r="I12" s="145">
        <f t="shared" si="6"/>
        <v>0</v>
      </c>
      <c r="J12" s="146">
        <f t="shared" si="6"/>
        <v>0</v>
      </c>
      <c r="K12" s="139">
        <f t="shared" si="3"/>
        <v>0</v>
      </c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</row>
    <row r="13" spans="1:86" s="131" customFormat="1" ht="14.4" thickBot="1" x14ac:dyDescent="0.3">
      <c r="A13" s="219"/>
      <c r="B13" s="219"/>
      <c r="C13" s="219"/>
      <c r="D13" s="135" t="s">
        <v>53</v>
      </c>
      <c r="E13" s="145">
        <f t="shared" si="6"/>
        <v>0</v>
      </c>
      <c r="F13" s="145">
        <f t="shared" si="6"/>
        <v>0</v>
      </c>
      <c r="G13" s="145">
        <f t="shared" si="6"/>
        <v>0</v>
      </c>
      <c r="H13" s="145">
        <f t="shared" si="6"/>
        <v>0</v>
      </c>
      <c r="I13" s="145">
        <f t="shared" si="6"/>
        <v>0</v>
      </c>
      <c r="J13" s="146">
        <f t="shared" si="6"/>
        <v>0</v>
      </c>
      <c r="K13" s="139">
        <f t="shared" si="3"/>
        <v>0</v>
      </c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</row>
    <row r="14" spans="1:86" s="131" customFormat="1" ht="14.4" thickBot="1" x14ac:dyDescent="0.3">
      <c r="A14" s="219"/>
      <c r="B14" s="219"/>
      <c r="C14" s="219"/>
      <c r="D14" s="135" t="s">
        <v>51</v>
      </c>
      <c r="E14" s="147">
        <f t="shared" si="6"/>
        <v>0</v>
      </c>
      <c r="F14" s="147">
        <f t="shared" si="6"/>
        <v>0</v>
      </c>
      <c r="G14" s="147">
        <f t="shared" si="6"/>
        <v>0</v>
      </c>
      <c r="H14" s="147">
        <f t="shared" si="6"/>
        <v>0</v>
      </c>
      <c r="I14" s="147">
        <f t="shared" si="6"/>
        <v>0</v>
      </c>
      <c r="J14" s="148">
        <f t="shared" si="6"/>
        <v>0</v>
      </c>
      <c r="K14" s="139">
        <f t="shared" si="3"/>
        <v>0</v>
      </c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</row>
    <row r="15" spans="1:86" s="131" customFormat="1" ht="24" x14ac:dyDescent="0.25">
      <c r="A15" s="219"/>
      <c r="B15" s="219"/>
      <c r="C15" s="219"/>
      <c r="D15" s="135" t="s">
        <v>54</v>
      </c>
      <c r="E15" s="138">
        <f>E7+E11+E13</f>
        <v>0</v>
      </c>
      <c r="F15" s="138">
        <f t="shared" ref="F15:J15" si="7">F7+F11+F13</f>
        <v>0</v>
      </c>
      <c r="G15" s="138">
        <f t="shared" si="7"/>
        <v>0</v>
      </c>
      <c r="H15" s="138">
        <f t="shared" si="7"/>
        <v>0</v>
      </c>
      <c r="I15" s="138">
        <f t="shared" si="7"/>
        <v>0</v>
      </c>
      <c r="J15" s="138">
        <f t="shared" si="7"/>
        <v>0</v>
      </c>
      <c r="K15" s="140">
        <f t="shared" si="3"/>
        <v>0</v>
      </c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  <c r="BR15" s="219"/>
      <c r="BS15" s="219"/>
      <c r="BT15" s="219"/>
      <c r="BU15" s="219"/>
      <c r="BV15" s="219"/>
      <c r="BW15" s="219"/>
      <c r="BX15" s="219"/>
      <c r="BY15" s="219"/>
      <c r="BZ15" s="219"/>
      <c r="CA15" s="219"/>
      <c r="CB15" s="219"/>
      <c r="CC15" s="219"/>
      <c r="CD15" s="219"/>
      <c r="CE15" s="219"/>
      <c r="CF15" s="219"/>
      <c r="CG15" s="219"/>
      <c r="CH15" s="219"/>
    </row>
    <row r="16" spans="1:86" s="131" customFormat="1" ht="24.6" thickBot="1" x14ac:dyDescent="0.3">
      <c r="A16" s="219"/>
      <c r="B16" s="219"/>
      <c r="C16" s="219"/>
      <c r="D16" s="136" t="s">
        <v>55</v>
      </c>
      <c r="E16" s="143">
        <f>E8+E12+E14</f>
        <v>0</v>
      </c>
      <c r="F16" s="143">
        <f t="shared" ref="F16:J16" si="8">F8+F12+F14</f>
        <v>0</v>
      </c>
      <c r="G16" s="143">
        <f t="shared" si="8"/>
        <v>0</v>
      </c>
      <c r="H16" s="143">
        <f t="shared" si="8"/>
        <v>0</v>
      </c>
      <c r="I16" s="143">
        <f t="shared" si="8"/>
        <v>0</v>
      </c>
      <c r="J16" s="143">
        <f t="shared" si="8"/>
        <v>0</v>
      </c>
      <c r="K16" s="139">
        <f t="shared" si="3"/>
        <v>0</v>
      </c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  <c r="BR16" s="219"/>
      <c r="BS16" s="219"/>
      <c r="BT16" s="219"/>
      <c r="BU16" s="219"/>
      <c r="BV16" s="219"/>
      <c r="BW16" s="219"/>
      <c r="BX16" s="219"/>
      <c r="BY16" s="219"/>
      <c r="BZ16" s="219"/>
      <c r="CA16" s="219"/>
      <c r="CB16" s="219"/>
      <c r="CC16" s="219"/>
      <c r="CD16" s="219"/>
      <c r="CE16" s="219"/>
      <c r="CF16" s="219"/>
      <c r="CG16" s="219"/>
      <c r="CH16" s="219"/>
    </row>
    <row r="17" spans="1:86" s="131" customFormat="1" ht="24.6" thickBot="1" x14ac:dyDescent="0.3">
      <c r="A17" s="219"/>
      <c r="B17" s="219"/>
      <c r="C17" s="219"/>
      <c r="D17" s="137" t="s">
        <v>56</v>
      </c>
      <c r="E17" s="144">
        <f t="shared" ref="E17:J17" si="9">E36+E54+E72</f>
        <v>0</v>
      </c>
      <c r="F17" s="144">
        <f t="shared" si="9"/>
        <v>0</v>
      </c>
      <c r="G17" s="144">
        <f t="shared" si="9"/>
        <v>0</v>
      </c>
      <c r="H17" s="144">
        <f t="shared" si="9"/>
        <v>0</v>
      </c>
      <c r="I17" s="144">
        <f t="shared" si="9"/>
        <v>0</v>
      </c>
      <c r="J17" s="144">
        <f t="shared" si="9"/>
        <v>0</v>
      </c>
      <c r="K17" s="142">
        <f t="shared" si="3"/>
        <v>0</v>
      </c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  <c r="BR17" s="219"/>
      <c r="BS17" s="219"/>
      <c r="BT17" s="219"/>
      <c r="BU17" s="219"/>
      <c r="BV17" s="219"/>
      <c r="BW17" s="219"/>
      <c r="BX17" s="219"/>
      <c r="BY17" s="219"/>
      <c r="BZ17" s="219"/>
      <c r="CA17" s="219"/>
      <c r="CB17" s="219"/>
      <c r="CC17" s="219"/>
      <c r="CD17" s="219"/>
      <c r="CE17" s="219"/>
      <c r="CF17" s="219"/>
      <c r="CG17" s="219"/>
      <c r="CH17" s="219"/>
    </row>
    <row r="18" spans="1:86" s="221" customFormat="1" ht="14.4" thickTop="1" thickBot="1" x14ac:dyDescent="0.3"/>
    <row r="19" spans="1:86" s="221" customFormat="1" ht="14.4" thickTop="1" thickBot="1" x14ac:dyDescent="0.3">
      <c r="E19" s="223" t="s">
        <v>62</v>
      </c>
      <c r="F19" s="225">
        <f>F38+F56+F74</f>
        <v>0</v>
      </c>
      <c r="I19" s="223" t="s">
        <v>61</v>
      </c>
      <c r="J19" s="225">
        <f>J38+J56+J74</f>
        <v>0</v>
      </c>
    </row>
    <row r="20" spans="1:86" s="221" customFormat="1" ht="13.8" thickTop="1" x14ac:dyDescent="0.25"/>
    <row r="21" spans="1:86" s="222" customFormat="1" ht="13.8" thickBot="1" x14ac:dyDescent="0.3"/>
    <row r="22" spans="1:86" ht="14.4" thickTop="1" thickBot="1" x14ac:dyDescent="0.3"/>
    <row r="23" spans="1:86" ht="25.5" customHeight="1" thickTop="1" x14ac:dyDescent="0.25">
      <c r="D23" s="364" t="s">
        <v>57</v>
      </c>
      <c r="H23" s="218" t="str">
        <f>TEXT(DATEVALUE(Day &amp; ", " &amp; Month &amp; ", " &amp; Year), "ddd, dd mmm, yyyy")</f>
        <v>Sat, 01 Apr, 2017</v>
      </c>
      <c r="I23" s="218"/>
      <c r="J23" s="218" t="str">
        <f>"Page " &amp; IF(chkNights = TRUE, (Day * 3) -2)</f>
        <v>Page 1</v>
      </c>
    </row>
    <row r="24" spans="1:86" ht="6" customHeight="1" thickBot="1" x14ac:dyDescent="0.3">
      <c r="D24" s="365"/>
    </row>
    <row r="25" spans="1:86" ht="25.2" thickTop="1" thickBot="1" x14ac:dyDescent="0.3">
      <c r="D25" s="132" t="s">
        <v>48</v>
      </c>
      <c r="E25" s="133" t="s">
        <v>1</v>
      </c>
      <c r="F25" s="133" t="s">
        <v>2</v>
      </c>
      <c r="G25" s="133" t="s">
        <v>3</v>
      </c>
      <c r="H25" s="133" t="s">
        <v>4</v>
      </c>
      <c r="I25" s="133" t="s">
        <v>5</v>
      </c>
      <c r="J25" s="133" t="s">
        <v>49</v>
      </c>
      <c r="K25" s="134" t="s">
        <v>7</v>
      </c>
    </row>
    <row r="26" spans="1:86" ht="13.8" x14ac:dyDescent="0.25">
      <c r="D26" s="135" t="s">
        <v>50</v>
      </c>
      <c r="E26" s="155"/>
      <c r="F26" s="156"/>
      <c r="G26" s="156"/>
      <c r="H26" s="156"/>
      <c r="I26" s="156"/>
      <c r="J26" s="157"/>
      <c r="K26" s="139">
        <f>SUM(E26:J26)</f>
        <v>0</v>
      </c>
    </row>
    <row r="27" spans="1:86" ht="13.8" x14ac:dyDescent="0.25">
      <c r="D27" s="135" t="s">
        <v>51</v>
      </c>
      <c r="E27" s="158"/>
      <c r="F27" s="159"/>
      <c r="G27" s="159"/>
      <c r="H27" s="159"/>
      <c r="I27" s="159"/>
      <c r="J27" s="160"/>
      <c r="K27" s="139">
        <f t="shared" ref="K27:K36" si="10">SUM(E27:J27)</f>
        <v>0</v>
      </c>
    </row>
    <row r="28" spans="1:86" ht="13.8" x14ac:dyDescent="0.25">
      <c r="D28" s="135" t="s">
        <v>112</v>
      </c>
      <c r="E28" s="307"/>
      <c r="F28" s="308"/>
      <c r="G28" s="308"/>
      <c r="H28" s="308"/>
      <c r="I28" s="308"/>
      <c r="J28" s="309"/>
      <c r="K28" s="139">
        <f t="shared" si="10"/>
        <v>0</v>
      </c>
    </row>
    <row r="29" spans="1:86" ht="13.8" x14ac:dyDescent="0.25">
      <c r="D29" s="135" t="s">
        <v>51</v>
      </c>
      <c r="E29" s="307"/>
      <c r="F29" s="308"/>
      <c r="G29" s="308"/>
      <c r="H29" s="308"/>
      <c r="I29" s="308"/>
      <c r="J29" s="309"/>
      <c r="K29" s="139">
        <f t="shared" si="10"/>
        <v>0</v>
      </c>
    </row>
    <row r="30" spans="1:86" ht="13.8" x14ac:dyDescent="0.25">
      <c r="D30" s="135" t="s">
        <v>52</v>
      </c>
      <c r="E30" s="158"/>
      <c r="F30" s="159"/>
      <c r="G30" s="159"/>
      <c r="H30" s="159"/>
      <c r="I30" s="159"/>
      <c r="J30" s="160"/>
      <c r="K30" s="139">
        <f t="shared" si="10"/>
        <v>0</v>
      </c>
    </row>
    <row r="31" spans="1:86" ht="13.8" x14ac:dyDescent="0.25">
      <c r="D31" s="135" t="s">
        <v>51</v>
      </c>
      <c r="E31" s="158"/>
      <c r="F31" s="159"/>
      <c r="G31" s="159"/>
      <c r="H31" s="159"/>
      <c r="I31" s="159"/>
      <c r="J31" s="160"/>
      <c r="K31" s="139">
        <f t="shared" si="10"/>
        <v>0</v>
      </c>
    </row>
    <row r="32" spans="1:86" ht="13.8" x14ac:dyDescent="0.25">
      <c r="D32" s="135" t="s">
        <v>53</v>
      </c>
      <c r="E32" s="158"/>
      <c r="F32" s="159"/>
      <c r="G32" s="159"/>
      <c r="H32" s="159"/>
      <c r="I32" s="159"/>
      <c r="J32" s="160"/>
      <c r="K32" s="139">
        <f t="shared" si="10"/>
        <v>0</v>
      </c>
    </row>
    <row r="33" spans="4:11" ht="14.4" thickBot="1" x14ac:dyDescent="0.3">
      <c r="D33" s="135" t="s">
        <v>51</v>
      </c>
      <c r="E33" s="161"/>
      <c r="F33" s="162"/>
      <c r="G33" s="162"/>
      <c r="H33" s="162"/>
      <c r="I33" s="162"/>
      <c r="J33" s="163"/>
      <c r="K33" s="139">
        <f t="shared" si="10"/>
        <v>0</v>
      </c>
    </row>
    <row r="34" spans="4:11" ht="24" x14ac:dyDescent="0.25">
      <c r="D34" s="135" t="s">
        <v>54</v>
      </c>
      <c r="E34" s="138">
        <f>E26+E30+E32</f>
        <v>0</v>
      </c>
      <c r="F34" s="138">
        <f t="shared" ref="F34:J34" si="11">F26+F30+F32</f>
        <v>0</v>
      </c>
      <c r="G34" s="138">
        <f t="shared" si="11"/>
        <v>0</v>
      </c>
      <c r="H34" s="138">
        <f t="shared" si="11"/>
        <v>0</v>
      </c>
      <c r="I34" s="138">
        <f t="shared" si="11"/>
        <v>0</v>
      </c>
      <c r="J34" s="138">
        <f t="shared" si="11"/>
        <v>0</v>
      </c>
      <c r="K34" s="140">
        <f t="shared" si="10"/>
        <v>0</v>
      </c>
    </row>
    <row r="35" spans="4:11" ht="24.6" thickBot="1" x14ac:dyDescent="0.3">
      <c r="D35" s="136" t="s">
        <v>55</v>
      </c>
      <c r="E35" s="143">
        <f>E27+E31+E33</f>
        <v>0</v>
      </c>
      <c r="F35" s="143">
        <f t="shared" ref="F35:J35" si="12">F27+F31+F33</f>
        <v>0</v>
      </c>
      <c r="G35" s="143">
        <f t="shared" si="12"/>
        <v>0</v>
      </c>
      <c r="H35" s="143">
        <f t="shared" si="12"/>
        <v>0</v>
      </c>
      <c r="I35" s="143">
        <f t="shared" si="12"/>
        <v>0</v>
      </c>
      <c r="J35" s="143">
        <f t="shared" si="12"/>
        <v>0</v>
      </c>
      <c r="K35" s="139">
        <f t="shared" si="10"/>
        <v>0</v>
      </c>
    </row>
    <row r="36" spans="4:11" ht="24.6" thickBot="1" x14ac:dyDescent="0.3">
      <c r="D36" s="137" t="s">
        <v>56</v>
      </c>
      <c r="E36" s="149"/>
      <c r="F36" s="150"/>
      <c r="G36" s="150"/>
      <c r="H36" s="150"/>
      <c r="I36" s="150"/>
      <c r="J36" s="151"/>
      <c r="K36" s="175">
        <f t="shared" si="10"/>
        <v>0</v>
      </c>
    </row>
    <row r="37" spans="4:11" s="183" customFormat="1" ht="9" hidden="1" customHeight="1" thickTop="1" x14ac:dyDescent="0.25">
      <c r="D37" s="184"/>
      <c r="E37" s="185"/>
      <c r="F37" s="185"/>
      <c r="G37" s="185"/>
      <c r="H37" s="185"/>
      <c r="I37" s="185"/>
      <c r="J37" s="185"/>
      <c r="K37" s="186"/>
    </row>
    <row r="38" spans="4:11" s="98" customFormat="1" ht="15" hidden="1" thickTop="1" thickBot="1" x14ac:dyDescent="0.3">
      <c r="D38" s="173"/>
      <c r="E38" s="176" t="s">
        <v>62</v>
      </c>
      <c r="F38" s="201"/>
      <c r="G38" s="177"/>
      <c r="H38" s="177"/>
      <c r="I38" s="176" t="s">
        <v>61</v>
      </c>
      <c r="J38" s="201"/>
      <c r="K38" s="174"/>
    </row>
    <row r="39" spans="4:11" s="182" customFormat="1" ht="21.75" hidden="1" customHeight="1" thickTop="1" thickBot="1" x14ac:dyDescent="0.3">
      <c r="D39" s="179"/>
      <c r="E39" s="180"/>
      <c r="F39" s="180"/>
      <c r="G39" s="180"/>
      <c r="H39" s="180"/>
      <c r="I39" s="180"/>
      <c r="J39" s="180"/>
      <c r="K39" s="181"/>
    </row>
    <row r="40" spans="4:11" ht="14.25" customHeight="1" thickTop="1" thickBot="1" x14ac:dyDescent="0.3"/>
    <row r="41" spans="4:11" ht="25.5" customHeight="1" thickTop="1" x14ac:dyDescent="0.25">
      <c r="D41" s="360" t="s">
        <v>58</v>
      </c>
      <c r="H41" s="216" t="str">
        <f>TEXT(DATEVALUE(Day &amp; ", " &amp; Month &amp; ", " &amp; Year), "ddd, dd mmm, yyyy")</f>
        <v>Sat, 01 Apr, 2017</v>
      </c>
      <c r="I41" s="216"/>
      <c r="J41" s="216" t="str">
        <f>"Page " &amp; IF(chkNights = TRUE, (Day * 3) - 1,IF(chkAfternoons = TRUE,(Day * 2) -1, Day))</f>
        <v>Page 2</v>
      </c>
    </row>
    <row r="42" spans="4:11" ht="6" customHeight="1" thickBot="1" x14ac:dyDescent="0.3">
      <c r="D42" s="361"/>
    </row>
    <row r="43" spans="4:11" ht="25.2" thickTop="1" thickBot="1" x14ac:dyDescent="0.3">
      <c r="D43" s="132" t="s">
        <v>48</v>
      </c>
      <c r="E43" s="133" t="s">
        <v>1</v>
      </c>
      <c r="F43" s="133" t="s">
        <v>2</v>
      </c>
      <c r="G43" s="133" t="s">
        <v>3</v>
      </c>
      <c r="H43" s="133" t="s">
        <v>4</v>
      </c>
      <c r="I43" s="133" t="s">
        <v>5</v>
      </c>
      <c r="J43" s="133" t="s">
        <v>49</v>
      </c>
      <c r="K43" s="134" t="s">
        <v>7</v>
      </c>
    </row>
    <row r="44" spans="4:11" ht="13.8" x14ac:dyDescent="0.25">
      <c r="D44" s="135" t="s">
        <v>50</v>
      </c>
      <c r="E44" s="164"/>
      <c r="F44" s="165"/>
      <c r="G44" s="165"/>
      <c r="H44" s="165"/>
      <c r="I44" s="165"/>
      <c r="J44" s="166"/>
      <c r="K44" s="139">
        <f>SUM(E44:J44)</f>
        <v>0</v>
      </c>
    </row>
    <row r="45" spans="4:11" ht="13.8" x14ac:dyDescent="0.25">
      <c r="D45" s="135" t="s">
        <v>51</v>
      </c>
      <c r="E45" s="167"/>
      <c r="F45" s="168"/>
      <c r="G45" s="168"/>
      <c r="H45" s="168"/>
      <c r="I45" s="168"/>
      <c r="J45" s="169"/>
      <c r="K45" s="139">
        <f t="shared" ref="K45:K54" si="13">SUM(E45:J45)</f>
        <v>0</v>
      </c>
    </row>
    <row r="46" spans="4:11" ht="13.8" x14ac:dyDescent="0.25">
      <c r="D46" s="135" t="s">
        <v>112</v>
      </c>
      <c r="E46" s="310"/>
      <c r="F46" s="311"/>
      <c r="G46" s="311"/>
      <c r="H46" s="311"/>
      <c r="I46" s="311"/>
      <c r="J46" s="312"/>
      <c r="K46" s="139">
        <f t="shared" si="13"/>
        <v>0</v>
      </c>
    </row>
    <row r="47" spans="4:11" ht="13.8" x14ac:dyDescent="0.25">
      <c r="D47" s="135" t="s">
        <v>51</v>
      </c>
      <c r="E47" s="310"/>
      <c r="F47" s="311"/>
      <c r="G47" s="311"/>
      <c r="H47" s="311"/>
      <c r="I47" s="311"/>
      <c r="J47" s="312"/>
      <c r="K47" s="139">
        <f t="shared" si="13"/>
        <v>0</v>
      </c>
    </row>
    <row r="48" spans="4:11" ht="13.8" x14ac:dyDescent="0.25">
      <c r="D48" s="135" t="s">
        <v>52</v>
      </c>
      <c r="E48" s="167"/>
      <c r="F48" s="168"/>
      <c r="G48" s="168"/>
      <c r="H48" s="168"/>
      <c r="I48" s="168"/>
      <c r="J48" s="169"/>
      <c r="K48" s="139">
        <f t="shared" si="13"/>
        <v>0</v>
      </c>
    </row>
    <row r="49" spans="4:11" ht="13.8" x14ac:dyDescent="0.25">
      <c r="D49" s="135" t="s">
        <v>51</v>
      </c>
      <c r="E49" s="167"/>
      <c r="F49" s="168"/>
      <c r="G49" s="168"/>
      <c r="H49" s="168"/>
      <c r="I49" s="168"/>
      <c r="J49" s="169"/>
      <c r="K49" s="139">
        <f t="shared" si="13"/>
        <v>0</v>
      </c>
    </row>
    <row r="50" spans="4:11" ht="13.8" x14ac:dyDescent="0.25">
      <c r="D50" s="135" t="s">
        <v>53</v>
      </c>
      <c r="E50" s="167"/>
      <c r="F50" s="168"/>
      <c r="G50" s="168"/>
      <c r="H50" s="168"/>
      <c r="I50" s="168"/>
      <c r="J50" s="169"/>
      <c r="K50" s="139">
        <f t="shared" si="13"/>
        <v>0</v>
      </c>
    </row>
    <row r="51" spans="4:11" ht="14.4" thickBot="1" x14ac:dyDescent="0.3">
      <c r="D51" s="135" t="s">
        <v>51</v>
      </c>
      <c r="E51" s="170"/>
      <c r="F51" s="171"/>
      <c r="G51" s="171"/>
      <c r="H51" s="171"/>
      <c r="I51" s="171"/>
      <c r="J51" s="172"/>
      <c r="K51" s="139">
        <f t="shared" si="13"/>
        <v>0</v>
      </c>
    </row>
    <row r="52" spans="4:11" ht="24" x14ac:dyDescent="0.25">
      <c r="D52" s="135" t="s">
        <v>54</v>
      </c>
      <c r="E52" s="138">
        <f>E44+E48+E50</f>
        <v>0</v>
      </c>
      <c r="F52" s="138">
        <f t="shared" ref="F52:J52" si="14">F44+F48+F50</f>
        <v>0</v>
      </c>
      <c r="G52" s="138">
        <f t="shared" si="14"/>
        <v>0</v>
      </c>
      <c r="H52" s="138">
        <f t="shared" si="14"/>
        <v>0</v>
      </c>
      <c r="I52" s="138">
        <f t="shared" si="14"/>
        <v>0</v>
      </c>
      <c r="J52" s="138">
        <f t="shared" si="14"/>
        <v>0</v>
      </c>
      <c r="K52" s="140">
        <f t="shared" si="13"/>
        <v>0</v>
      </c>
    </row>
    <row r="53" spans="4:11" ht="24.6" thickBot="1" x14ac:dyDescent="0.3">
      <c r="D53" s="136" t="s">
        <v>55</v>
      </c>
      <c r="E53" s="143">
        <f>E45+E49+E51</f>
        <v>0</v>
      </c>
      <c r="F53" s="143">
        <f t="shared" ref="F53:J53" si="15">F45+F49+F51</f>
        <v>0</v>
      </c>
      <c r="G53" s="143">
        <f t="shared" si="15"/>
        <v>0</v>
      </c>
      <c r="H53" s="143">
        <f t="shared" si="15"/>
        <v>0</v>
      </c>
      <c r="I53" s="143">
        <f t="shared" si="15"/>
        <v>0</v>
      </c>
      <c r="J53" s="143">
        <f t="shared" si="15"/>
        <v>0</v>
      </c>
      <c r="K53" s="139">
        <f t="shared" si="13"/>
        <v>0</v>
      </c>
    </row>
    <row r="54" spans="4:11" ht="24.6" thickBot="1" x14ac:dyDescent="0.3">
      <c r="D54" s="137" t="s">
        <v>56</v>
      </c>
      <c r="E54" s="152"/>
      <c r="F54" s="153"/>
      <c r="G54" s="153"/>
      <c r="H54" s="153"/>
      <c r="I54" s="153"/>
      <c r="J54" s="154"/>
      <c r="K54" s="175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6" t="s">
        <v>62</v>
      </c>
      <c r="F56" s="187"/>
      <c r="G56" s="177"/>
      <c r="H56" s="177"/>
      <c r="I56" s="176" t="s">
        <v>61</v>
      </c>
      <c r="J56" s="187"/>
    </row>
    <row r="57" spans="4:11" s="178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362" t="s">
        <v>59</v>
      </c>
      <c r="H59" s="217" t="str">
        <f>TEXT(DATEVALUE(Day &amp; ", " &amp; Month &amp; ", " &amp; Year), "ddd, dd mmm yyyy")</f>
        <v>Sat, 01 Apr 2017</v>
      </c>
      <c r="I59" s="217"/>
      <c r="J59" s="217" t="str">
        <f>"Page " &amp; IF(chkNights = TRUE, (Day * 3), Day * 2)</f>
        <v>Page 3</v>
      </c>
    </row>
    <row r="60" spans="4:11" ht="9" customHeight="1" thickBot="1" x14ac:dyDescent="0.3">
      <c r="D60" s="363"/>
    </row>
    <row r="61" spans="4:11" ht="25.2" thickTop="1" thickBot="1" x14ac:dyDescent="0.3">
      <c r="D61" s="132" t="s">
        <v>48</v>
      </c>
      <c r="E61" s="133" t="s">
        <v>1</v>
      </c>
      <c r="F61" s="133" t="s">
        <v>2</v>
      </c>
      <c r="G61" s="133" t="s">
        <v>3</v>
      </c>
      <c r="H61" s="133" t="s">
        <v>4</v>
      </c>
      <c r="I61" s="133" t="s">
        <v>5</v>
      </c>
      <c r="J61" s="133" t="s">
        <v>49</v>
      </c>
      <c r="K61" s="134" t="s">
        <v>7</v>
      </c>
    </row>
    <row r="62" spans="4:11" ht="13.8" x14ac:dyDescent="0.25">
      <c r="D62" s="135" t="s">
        <v>50</v>
      </c>
      <c r="E62" s="192"/>
      <c r="F62" s="193"/>
      <c r="G62" s="193"/>
      <c r="H62" s="193"/>
      <c r="I62" s="193"/>
      <c r="J62" s="194"/>
      <c r="K62" s="139">
        <f>SUM(E62:J62)</f>
        <v>0</v>
      </c>
    </row>
    <row r="63" spans="4:11" ht="13.8" x14ac:dyDescent="0.25">
      <c r="D63" s="135" t="s">
        <v>51</v>
      </c>
      <c r="E63" s="195"/>
      <c r="F63" s="196"/>
      <c r="G63" s="196"/>
      <c r="H63" s="196"/>
      <c r="I63" s="196"/>
      <c r="J63" s="197"/>
      <c r="K63" s="139">
        <f t="shared" ref="K63:K72" si="16">SUM(E63:J63)</f>
        <v>0</v>
      </c>
    </row>
    <row r="64" spans="4:11" ht="13.8" x14ac:dyDescent="0.25">
      <c r="D64" s="135" t="s">
        <v>112</v>
      </c>
      <c r="E64" s="313"/>
      <c r="F64" s="314"/>
      <c r="G64" s="314"/>
      <c r="H64" s="314"/>
      <c r="I64" s="314"/>
      <c r="J64" s="315"/>
      <c r="K64" s="139">
        <f t="shared" si="16"/>
        <v>0</v>
      </c>
    </row>
    <row r="65" spans="4:15" ht="13.8" x14ac:dyDescent="0.25">
      <c r="D65" s="135" t="s">
        <v>51</v>
      </c>
      <c r="E65" s="313"/>
      <c r="F65" s="314"/>
      <c r="G65" s="314"/>
      <c r="H65" s="314"/>
      <c r="I65" s="314"/>
      <c r="J65" s="315"/>
      <c r="K65" s="139">
        <f t="shared" si="16"/>
        <v>0</v>
      </c>
    </row>
    <row r="66" spans="4:15" ht="13.8" x14ac:dyDescent="0.25">
      <c r="D66" s="135" t="s">
        <v>52</v>
      </c>
      <c r="E66" s="195"/>
      <c r="F66" s="196"/>
      <c r="G66" s="196"/>
      <c r="H66" s="196"/>
      <c r="I66" s="196"/>
      <c r="J66" s="197"/>
      <c r="K66" s="139">
        <f t="shared" si="16"/>
        <v>0</v>
      </c>
    </row>
    <row r="67" spans="4:15" ht="13.8" x14ac:dyDescent="0.25">
      <c r="D67" s="135" t="s">
        <v>51</v>
      </c>
      <c r="E67" s="195"/>
      <c r="F67" s="196"/>
      <c r="G67" s="196"/>
      <c r="H67" s="196"/>
      <c r="I67" s="196"/>
      <c r="J67" s="197"/>
      <c r="K67" s="139">
        <f t="shared" si="16"/>
        <v>0</v>
      </c>
    </row>
    <row r="68" spans="4:15" ht="13.8" x14ac:dyDescent="0.25">
      <c r="D68" s="135" t="s">
        <v>53</v>
      </c>
      <c r="E68" s="195"/>
      <c r="F68" s="196"/>
      <c r="G68" s="196"/>
      <c r="H68" s="196"/>
      <c r="I68" s="196"/>
      <c r="J68" s="197"/>
      <c r="K68" s="139">
        <f t="shared" si="16"/>
        <v>0</v>
      </c>
    </row>
    <row r="69" spans="4:15" ht="14.4" thickBot="1" x14ac:dyDescent="0.3">
      <c r="D69" s="135" t="s">
        <v>51</v>
      </c>
      <c r="E69" s="198"/>
      <c r="F69" s="199"/>
      <c r="G69" s="199"/>
      <c r="H69" s="199"/>
      <c r="I69" s="199"/>
      <c r="J69" s="200"/>
      <c r="K69" s="139">
        <f t="shared" si="16"/>
        <v>0</v>
      </c>
    </row>
    <row r="70" spans="4:15" ht="24" x14ac:dyDescent="0.25">
      <c r="D70" s="135" t="s">
        <v>54</v>
      </c>
      <c r="E70" s="138">
        <f t="shared" ref="E70:J70" si="17">E62+E66+E68</f>
        <v>0</v>
      </c>
      <c r="F70" s="138">
        <f t="shared" si="17"/>
        <v>0</v>
      </c>
      <c r="G70" s="138">
        <f t="shared" si="17"/>
        <v>0</v>
      </c>
      <c r="H70" s="138">
        <f t="shared" si="17"/>
        <v>0</v>
      </c>
      <c r="I70" s="138">
        <f t="shared" si="17"/>
        <v>0</v>
      </c>
      <c r="J70" s="138">
        <f t="shared" si="17"/>
        <v>0</v>
      </c>
      <c r="K70" s="140">
        <f t="shared" si="16"/>
        <v>0</v>
      </c>
    </row>
    <row r="71" spans="4:15" ht="24.6" thickBot="1" x14ac:dyDescent="0.3">
      <c r="D71" s="136" t="s">
        <v>55</v>
      </c>
      <c r="E71" s="143">
        <f>E63+E67+E69</f>
        <v>0</v>
      </c>
      <c r="F71" s="143">
        <f t="shared" ref="F71:J71" si="18">F63+F67+F69</f>
        <v>0</v>
      </c>
      <c r="G71" s="143">
        <f t="shared" si="18"/>
        <v>0</v>
      </c>
      <c r="H71" s="143">
        <f t="shared" si="18"/>
        <v>0</v>
      </c>
      <c r="I71" s="143">
        <f t="shared" si="18"/>
        <v>0</v>
      </c>
      <c r="J71" s="143">
        <f t="shared" si="18"/>
        <v>0</v>
      </c>
      <c r="K71" s="139">
        <f t="shared" si="16"/>
        <v>0</v>
      </c>
    </row>
    <row r="72" spans="4:15" ht="24.6" thickBot="1" x14ac:dyDescent="0.35">
      <c r="D72" s="137" t="s">
        <v>56</v>
      </c>
      <c r="E72" s="188"/>
      <c r="F72" s="189"/>
      <c r="G72" s="189"/>
      <c r="H72" s="189"/>
      <c r="I72" s="189"/>
      <c r="J72" s="190"/>
      <c r="K72" s="175">
        <f t="shared" si="16"/>
        <v>0</v>
      </c>
      <c r="O72" s="141"/>
    </row>
    <row r="73" spans="4:15" ht="6.75" customHeight="1" thickTop="1" x14ac:dyDescent="0.25"/>
    <row r="74" spans="4:15" ht="16.5" hidden="1" customHeight="1" thickTop="1" thickBot="1" x14ac:dyDescent="0.3">
      <c r="E74" s="176" t="s">
        <v>62</v>
      </c>
      <c r="F74" s="191"/>
      <c r="G74" s="177"/>
      <c r="H74" s="177"/>
      <c r="I74" s="176" t="s">
        <v>61</v>
      </c>
      <c r="J74" s="191"/>
    </row>
    <row r="75" spans="4:15" s="178" customFormat="1" ht="14.4" hidden="1" thickTop="1" thickBot="1" x14ac:dyDescent="0.3"/>
    <row r="84" spans="6:6" x14ac:dyDescent="0.25">
      <c r="F84" s="203">
        <v>31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274320</xdr:colOff>
                <xdr:row>22</xdr:row>
                <xdr:rowOff>22860</xdr:rowOff>
              </from>
              <to>
                <xdr:col>6</xdr:col>
                <xdr:colOff>480060</xdr:colOff>
                <xdr:row>22</xdr:row>
                <xdr:rowOff>312420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220980</xdr:colOff>
                <xdr:row>39</xdr:row>
                <xdr:rowOff>160020</xdr:rowOff>
              </from>
              <to>
                <xdr:col>6</xdr:col>
                <xdr:colOff>426720</xdr:colOff>
                <xdr:row>40</xdr:row>
                <xdr:rowOff>274320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213360</xdr:colOff>
                <xdr:row>39</xdr:row>
                <xdr:rowOff>45720</xdr:rowOff>
              </from>
              <to>
                <xdr:col>6</xdr:col>
                <xdr:colOff>419100</xdr:colOff>
                <xdr:row>40</xdr:row>
                <xdr:rowOff>144780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5"/>
    <col min="3" max="3" width="8.5546875" style="205" customWidth="1"/>
    <col min="4" max="4" width="4.5546875" style="205" customWidth="1"/>
    <col min="5" max="5" width="14" style="205" customWidth="1"/>
    <col min="6" max="7" width="9.109375" style="205"/>
    <col min="8" max="8" width="12.44140625" style="205" customWidth="1"/>
    <col min="9" max="9" width="9.109375" style="205"/>
    <col min="10" max="10" width="12.109375" style="205" customWidth="1"/>
    <col min="11" max="11" width="9.109375" style="205"/>
    <col min="12" max="12" width="10.6640625" style="205" customWidth="1"/>
    <col min="13" max="13" width="9.109375" style="205"/>
    <col min="14" max="14" width="10.44140625" style="205" customWidth="1"/>
    <col min="15" max="15" width="9.109375" style="205"/>
    <col min="16" max="16" width="15.109375" style="205" customWidth="1"/>
    <col min="17" max="17" width="19.5546875" style="205" customWidth="1"/>
    <col min="18" max="16384" width="9.109375" style="205"/>
  </cols>
  <sheetData>
    <row r="3" spans="4:17" ht="13.8" thickBot="1" x14ac:dyDescent="0.3"/>
    <row r="4" spans="4:17" ht="14.4" thickTop="1" thickBot="1" x14ac:dyDescent="0.3">
      <c r="D4" s="366" t="s">
        <v>66</v>
      </c>
      <c r="E4" s="367"/>
      <c r="H4" s="215" t="s">
        <v>77</v>
      </c>
      <c r="J4" s="215" t="s">
        <v>78</v>
      </c>
      <c r="L4" s="215" t="s">
        <v>79</v>
      </c>
      <c r="N4" s="215" t="s">
        <v>80</v>
      </c>
      <c r="P4" s="261" t="s">
        <v>92</v>
      </c>
      <c r="Q4" s="262" t="s">
        <v>111</v>
      </c>
    </row>
    <row r="5" spans="4:17" ht="13.8" thickTop="1" x14ac:dyDescent="0.25">
      <c r="D5" s="206">
        <v>1</v>
      </c>
      <c r="E5" s="209" t="s">
        <v>67</v>
      </c>
      <c r="H5" s="212">
        <v>1</v>
      </c>
      <c r="J5" s="212">
        <v>1</v>
      </c>
      <c r="L5" s="212">
        <v>1</v>
      </c>
      <c r="N5" s="212">
        <v>1</v>
      </c>
      <c r="P5" s="263" t="s">
        <v>93</v>
      </c>
      <c r="Q5" s="264">
        <v>2017</v>
      </c>
    </row>
    <row r="6" spans="4:17" ht="13.8" thickBot="1" x14ac:dyDescent="0.3">
      <c r="D6" s="207">
        <v>2</v>
      </c>
      <c r="E6" s="210" t="s">
        <v>68</v>
      </c>
      <c r="H6" s="213">
        <v>2</v>
      </c>
      <c r="J6" s="213">
        <v>2</v>
      </c>
      <c r="L6" s="213">
        <v>2</v>
      </c>
      <c r="N6" s="213">
        <v>2</v>
      </c>
      <c r="P6" s="265" t="s">
        <v>94</v>
      </c>
      <c r="Q6" s="266" t="s">
        <v>106</v>
      </c>
    </row>
    <row r="7" spans="4:17" ht="13.8" thickTop="1" x14ac:dyDescent="0.25">
      <c r="D7" s="207">
        <v>3</v>
      </c>
      <c r="E7" s="210" t="s">
        <v>69</v>
      </c>
      <c r="H7" s="213">
        <v>3</v>
      </c>
      <c r="J7" s="213">
        <v>3</v>
      </c>
      <c r="L7" s="213">
        <v>3</v>
      </c>
      <c r="N7" s="213">
        <v>3</v>
      </c>
    </row>
    <row r="8" spans="4:17" x14ac:dyDescent="0.25">
      <c r="D8" s="207">
        <v>4</v>
      </c>
      <c r="E8" s="210" t="s">
        <v>70</v>
      </c>
      <c r="H8" s="213">
        <v>4</v>
      </c>
      <c r="J8" s="213">
        <v>4</v>
      </c>
      <c r="L8" s="213">
        <v>4</v>
      </c>
      <c r="N8" s="213">
        <v>4</v>
      </c>
    </row>
    <row r="9" spans="4:17" x14ac:dyDescent="0.25">
      <c r="D9" s="207">
        <v>5</v>
      </c>
      <c r="E9" s="210" t="s">
        <v>71</v>
      </c>
      <c r="H9" s="213">
        <v>5</v>
      </c>
      <c r="J9" s="213">
        <v>5</v>
      </c>
      <c r="L9" s="213">
        <v>5</v>
      </c>
      <c r="N9" s="213">
        <v>5</v>
      </c>
    </row>
    <row r="10" spans="4:17" x14ac:dyDescent="0.25">
      <c r="D10" s="207">
        <v>6</v>
      </c>
      <c r="E10" s="210" t="s">
        <v>72</v>
      </c>
      <c r="H10" s="213">
        <v>6</v>
      </c>
      <c r="J10" s="213">
        <v>6</v>
      </c>
      <c r="L10" s="213">
        <v>6</v>
      </c>
      <c r="N10" s="213">
        <v>6</v>
      </c>
    </row>
    <row r="11" spans="4:17" x14ac:dyDescent="0.25">
      <c r="D11" s="207">
        <v>7</v>
      </c>
      <c r="E11" s="210" t="s">
        <v>73</v>
      </c>
      <c r="H11" s="213">
        <v>7</v>
      </c>
      <c r="J11" s="213">
        <v>7</v>
      </c>
      <c r="L11" s="213">
        <v>7</v>
      </c>
      <c r="N11" s="213">
        <v>7</v>
      </c>
    </row>
    <row r="12" spans="4:17" x14ac:dyDescent="0.25">
      <c r="D12" s="207">
        <v>8</v>
      </c>
      <c r="E12" s="210" t="s">
        <v>74</v>
      </c>
      <c r="H12" s="213">
        <v>8</v>
      </c>
      <c r="J12" s="213">
        <v>8</v>
      </c>
      <c r="L12" s="213">
        <v>8</v>
      </c>
      <c r="N12" s="213">
        <v>8</v>
      </c>
    </row>
    <row r="13" spans="4:17" x14ac:dyDescent="0.25">
      <c r="D13" s="207">
        <v>9</v>
      </c>
      <c r="E13" s="210" t="s">
        <v>65</v>
      </c>
      <c r="H13" s="213">
        <v>9</v>
      </c>
      <c r="J13" s="213">
        <v>9</v>
      </c>
      <c r="L13" s="213">
        <v>9</v>
      </c>
      <c r="N13" s="213">
        <v>9</v>
      </c>
    </row>
    <row r="14" spans="4:17" x14ac:dyDescent="0.25">
      <c r="D14" s="207">
        <v>10</v>
      </c>
      <c r="E14" s="210" t="s">
        <v>64</v>
      </c>
      <c r="H14" s="213">
        <v>10</v>
      </c>
      <c r="J14" s="213">
        <v>10</v>
      </c>
      <c r="L14" s="213">
        <v>10</v>
      </c>
      <c r="N14" s="213">
        <v>10</v>
      </c>
    </row>
    <row r="15" spans="4:17" x14ac:dyDescent="0.25">
      <c r="D15" s="207">
        <v>11</v>
      </c>
      <c r="E15" s="210" t="s">
        <v>75</v>
      </c>
      <c r="H15" s="213">
        <v>11</v>
      </c>
      <c r="J15" s="213">
        <v>11</v>
      </c>
      <c r="L15" s="213">
        <v>11</v>
      </c>
      <c r="N15" s="213">
        <v>11</v>
      </c>
    </row>
    <row r="16" spans="4:17" ht="13.8" thickBot="1" x14ac:dyDescent="0.3">
      <c r="D16" s="208">
        <v>12</v>
      </c>
      <c r="E16" s="211" t="s">
        <v>76</v>
      </c>
      <c r="H16" s="213">
        <v>12</v>
      </c>
      <c r="J16" s="213">
        <v>12</v>
      </c>
      <c r="L16" s="213">
        <v>12</v>
      </c>
      <c r="N16" s="213">
        <v>12</v>
      </c>
    </row>
    <row r="17" spans="8:14" ht="13.8" thickTop="1" x14ac:dyDescent="0.25">
      <c r="H17" s="213">
        <v>13</v>
      </c>
      <c r="J17" s="213">
        <v>13</v>
      </c>
      <c r="L17" s="213">
        <v>13</v>
      </c>
      <c r="N17" s="213">
        <v>13</v>
      </c>
    </row>
    <row r="18" spans="8:14" x14ac:dyDescent="0.25">
      <c r="H18" s="213">
        <v>14</v>
      </c>
      <c r="J18" s="213">
        <v>14</v>
      </c>
      <c r="L18" s="213">
        <v>14</v>
      </c>
      <c r="N18" s="213">
        <v>14</v>
      </c>
    </row>
    <row r="19" spans="8:14" x14ac:dyDescent="0.25">
      <c r="H19" s="213">
        <v>15</v>
      </c>
      <c r="J19" s="213">
        <v>15</v>
      </c>
      <c r="L19" s="213">
        <v>15</v>
      </c>
      <c r="N19" s="213">
        <v>15</v>
      </c>
    </row>
    <row r="20" spans="8:14" x14ac:dyDescent="0.25">
      <c r="H20" s="213">
        <v>16</v>
      </c>
      <c r="J20" s="213">
        <v>16</v>
      </c>
      <c r="L20" s="213">
        <v>16</v>
      </c>
      <c r="N20" s="213">
        <v>16</v>
      </c>
    </row>
    <row r="21" spans="8:14" x14ac:dyDescent="0.25">
      <c r="H21" s="213">
        <v>17</v>
      </c>
      <c r="J21" s="213">
        <v>17</v>
      </c>
      <c r="L21" s="213">
        <v>17</v>
      </c>
      <c r="N21" s="213">
        <v>17</v>
      </c>
    </row>
    <row r="22" spans="8:14" x14ac:dyDescent="0.25">
      <c r="H22" s="213">
        <v>18</v>
      </c>
      <c r="J22" s="213">
        <v>18</v>
      </c>
      <c r="L22" s="213">
        <v>18</v>
      </c>
      <c r="N22" s="213">
        <v>18</v>
      </c>
    </row>
    <row r="23" spans="8:14" x14ac:dyDescent="0.25">
      <c r="H23" s="213">
        <v>19</v>
      </c>
      <c r="J23" s="213">
        <v>19</v>
      </c>
      <c r="L23" s="213">
        <v>19</v>
      </c>
      <c r="N23" s="213">
        <v>19</v>
      </c>
    </row>
    <row r="24" spans="8:14" x14ac:dyDescent="0.25">
      <c r="H24" s="213">
        <v>20</v>
      </c>
      <c r="J24" s="213">
        <v>20</v>
      </c>
      <c r="L24" s="213">
        <v>20</v>
      </c>
      <c r="N24" s="213">
        <v>20</v>
      </c>
    </row>
    <row r="25" spans="8:14" x14ac:dyDescent="0.25">
      <c r="H25" s="213">
        <v>21</v>
      </c>
      <c r="J25" s="213">
        <v>21</v>
      </c>
      <c r="L25" s="213">
        <v>21</v>
      </c>
      <c r="N25" s="213">
        <v>21</v>
      </c>
    </row>
    <row r="26" spans="8:14" x14ac:dyDescent="0.25">
      <c r="H26" s="213">
        <v>22</v>
      </c>
      <c r="J26" s="213">
        <v>22</v>
      </c>
      <c r="L26" s="213">
        <v>22</v>
      </c>
      <c r="N26" s="213">
        <v>22</v>
      </c>
    </row>
    <row r="27" spans="8:14" x14ac:dyDescent="0.25">
      <c r="H27" s="213">
        <v>23</v>
      </c>
      <c r="J27" s="213">
        <v>23</v>
      </c>
      <c r="L27" s="213">
        <v>23</v>
      </c>
      <c r="N27" s="213">
        <v>23</v>
      </c>
    </row>
    <row r="28" spans="8:14" x14ac:dyDescent="0.25">
      <c r="H28" s="213">
        <v>24</v>
      </c>
      <c r="J28" s="213">
        <v>24</v>
      </c>
      <c r="L28" s="213">
        <v>24</v>
      </c>
      <c r="N28" s="213">
        <v>24</v>
      </c>
    </row>
    <row r="29" spans="8:14" x14ac:dyDescent="0.25">
      <c r="H29" s="213">
        <v>25</v>
      </c>
      <c r="J29" s="213">
        <v>25</v>
      </c>
      <c r="L29" s="213">
        <v>25</v>
      </c>
      <c r="N29" s="213">
        <v>25</v>
      </c>
    </row>
    <row r="30" spans="8:14" x14ac:dyDescent="0.25">
      <c r="H30" s="213">
        <v>26</v>
      </c>
      <c r="J30" s="213">
        <v>26</v>
      </c>
      <c r="L30" s="213">
        <v>26</v>
      </c>
      <c r="N30" s="213">
        <v>26</v>
      </c>
    </row>
    <row r="31" spans="8:14" x14ac:dyDescent="0.25">
      <c r="H31" s="213">
        <v>27</v>
      </c>
      <c r="J31" s="213">
        <v>27</v>
      </c>
      <c r="L31" s="213">
        <v>27</v>
      </c>
      <c r="N31" s="213">
        <v>27</v>
      </c>
    </row>
    <row r="32" spans="8:14" ht="13.8" thickBot="1" x14ac:dyDescent="0.3">
      <c r="H32" s="213">
        <v>28</v>
      </c>
      <c r="J32" s="213">
        <v>28</v>
      </c>
      <c r="L32" s="214">
        <v>28</v>
      </c>
      <c r="N32" s="213">
        <v>28</v>
      </c>
    </row>
    <row r="33" spans="8:14" ht="14.4" thickTop="1" thickBot="1" x14ac:dyDescent="0.3">
      <c r="H33" s="213">
        <v>29</v>
      </c>
      <c r="J33" s="213">
        <v>29</v>
      </c>
      <c r="N33" s="214">
        <v>29</v>
      </c>
    </row>
    <row r="34" spans="8:14" ht="14.4" thickTop="1" thickBot="1" x14ac:dyDescent="0.3">
      <c r="H34" s="214">
        <v>30</v>
      </c>
      <c r="J34" s="213">
        <v>30</v>
      </c>
    </row>
    <row r="35" spans="8:14" ht="14.4" thickTop="1" thickBot="1" x14ac:dyDescent="0.3">
      <c r="J35" s="214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85</vt:i4>
      </vt:variant>
    </vt:vector>
  </HeadingPairs>
  <TitlesOfParts>
    <vt:vector size="99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2017-08-24T11:09:15Z</cp:lastPrinted>
  <dcterms:created xsi:type="dcterms:W3CDTF">1998-05-04T06:57:40Z</dcterms:created>
  <dcterms:modified xsi:type="dcterms:W3CDTF">2017-08-24T11:10:12Z</dcterms:modified>
</cp:coreProperties>
</file>