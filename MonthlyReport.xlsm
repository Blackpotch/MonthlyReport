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MonthlyReportDev\"/>
    </mc:Choice>
  </mc:AlternateContent>
  <bookViews>
    <workbookView xWindow="135" yWindow="15" windowWidth="9420" windowHeight="4755" tabRatio="689" firstSheet="1" activeTab="6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state="hidden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N31" i="16" l="1"/>
  <c r="N32" i="16"/>
  <c r="N33" i="16"/>
  <c r="N34" i="16"/>
  <c r="N35" i="16"/>
  <c r="N36" i="16"/>
  <c r="M31" i="16"/>
  <c r="M32" i="16"/>
  <c r="M33" i="16"/>
  <c r="M34" i="16"/>
  <c r="M35" i="16"/>
  <c r="M36" i="16"/>
  <c r="N30" i="16"/>
  <c r="N37" i="16" s="1"/>
  <c r="M30" i="16"/>
  <c r="L31" i="16"/>
  <c r="L32" i="16"/>
  <c r="L33" i="16"/>
  <c r="L34" i="16"/>
  <c r="L35" i="16"/>
  <c r="L36" i="16"/>
  <c r="L30" i="16"/>
  <c r="O35" i="16" l="1"/>
  <c r="M37" i="16"/>
  <c r="O36" i="16"/>
  <c r="O34" i="16"/>
  <c r="O33" i="16"/>
  <c r="O32" i="16"/>
  <c r="O31" i="16"/>
  <c r="O30" i="16"/>
  <c r="L37" i="16"/>
  <c r="N11" i="16"/>
  <c r="N6" i="16"/>
  <c r="N7" i="16"/>
  <c r="N8" i="16"/>
  <c r="N9" i="16"/>
  <c r="N10" i="16"/>
  <c r="N5" i="16"/>
  <c r="M5" i="16"/>
  <c r="M11" i="16"/>
  <c r="M8" i="16"/>
  <c r="M6" i="16"/>
  <c r="M7" i="16"/>
  <c r="M9" i="16"/>
  <c r="M10" i="16"/>
  <c r="L6" i="16"/>
  <c r="L7" i="16"/>
  <c r="L8" i="16"/>
  <c r="L9" i="16"/>
  <c r="L10" i="16"/>
  <c r="L11" i="16"/>
  <c r="L5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6" i="16"/>
  <c r="D5" i="16"/>
  <c r="O6" i="16" l="1"/>
  <c r="M12" i="16"/>
  <c r="N12" i="16"/>
  <c r="O8" i="16"/>
  <c r="O10" i="16"/>
  <c r="O9" i="16"/>
  <c r="O11" i="16"/>
  <c r="L12" i="16"/>
  <c r="O7" i="16"/>
  <c r="O5" i="16"/>
  <c r="L16" i="11"/>
  <c r="L12" i="11"/>
  <c r="O12" i="16" l="1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F35" i="13" l="1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<sst xmlns="http://schemas.openxmlformats.org/spreadsheetml/2006/main" count="279" uniqueCount="127">
  <si>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</si>
  <si>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</si>
  <si>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</si>
  <si>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</si>
  <si>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</si>
  <si>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</si>
  <si>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</si>
  <si>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</si>
  <si>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</si>
  <si>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</si>
  <si>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</si>
  <si>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</si>
  <si>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</si>
  <si>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</si>
  <si>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</si>
  <si>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</si>
  <si>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</si>
  <si>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</si>
  <si>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</si>
  <si>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</si>
  <si>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</si>
  <si>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</si>
  <si>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</si>
  <si>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</si>
  <si>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</si>
  <si>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</si>
  <si>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</si>
  <si>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</si>
  <si>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</si>
  <si>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</si>
  <si>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</si>
  <si>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</si>
  <si>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</si>
  <si>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</si>
  <si>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</si>
  <si>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</si>
  <si>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</si>
  <si>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</si>
  <si>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</si>
  <si>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</si>
  <si>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</si>
  <si>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</si>
  <si>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</si>
  <si>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</si>
  <si>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</si>
  <si>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</si>
  <si>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</si>
  <si>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</si>
  <si>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</si>
  <si>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</si>
  <si>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</si>
  <si>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</si>
  <si>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</si>
  <si>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</si>
  <si>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</si>
  <si>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</si>
  <si>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</si>
  <si>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</si>
  <si>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</si>
  <si>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</si>
  <si>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</si>
  <si>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</si>
  <si>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</si>
  <si>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</si>
  <si>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</si>
  <si>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</si>
  <si>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</si>
  <si>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</si>
  <si>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</si>
  <si>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</si>
  <si>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</si>
  <si>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</si>
  <si>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</si>
  <si>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</si>
  <si>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</si>
  <si>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</si>
  <si>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</si>
  <si>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</si>
  <si>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</si>
  <si>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</si>
  <si>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</si>
  <si>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</si>
  <si>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</si>
  <si>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</si>
  <si>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</si>
  <si>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</si>
  <si>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</si>
  <si>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</si>
  <si>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</si>
  <si>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</si>
  <si>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</si>
  <si>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</si>
  <si>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</si>
  <si>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</si>
  <si>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</si>
  <si>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</si>
  <si>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</si>
  <si>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</si>
  <si>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</si>
  <si>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</si>
  <si>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</si>
  <si>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</si>
  <si>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</si>
  <si>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</si>
  <si>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</si>
  <si>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</si>
  <si>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</si>
  <si>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</si>
  <si>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</si>
  <si>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</si>
  <si>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</si>
  <si>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</si>
  <si>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</si>
  <si>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</si>
  <si>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August</t>
  </si>
  <si>
    <t>PINNAROO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</si>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</sst>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22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100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101" xfId="0" applyFont="1" applyBorder="1" applyAlignment="1" applyProtection="1">
      <alignment horizontal="center"/>
      <protection locked="0"/>
    </xf>
    <xf numFmtId="0" fontId="16" fillId="0" borderId="102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103" xfId="0" applyFont="1" applyBorder="1" applyAlignment="1" applyProtection="1">
      <alignment horizontal="center"/>
      <protection hidden="1"/>
    </xf>
    <xf numFmtId="0" fontId="9" fillId="0" borderId="104" xfId="0" applyFont="1" applyBorder="1" applyAlignment="1" applyProtection="1">
      <alignment horizontal="center"/>
      <protection hidden="1"/>
    </xf>
    <xf numFmtId="0" fontId="16" fillId="0" borderId="105" xfId="0" applyFont="1" applyBorder="1" applyAlignment="1" applyProtection="1">
      <alignment horizontal="center"/>
      <protection locked="0"/>
    </xf>
    <xf numFmtId="0" fontId="35" fillId="21" borderId="108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90" xfId="0" applyFont="1" applyFill="1" applyBorder="1" applyAlignment="1">
      <alignment horizontal="center" vertical="center"/>
    </xf>
    <xf numFmtId="0" fontId="22" fillId="30" borderId="91" xfId="0" applyFont="1" applyFill="1" applyBorder="1" applyAlignment="1">
      <alignment horizontal="center" vertical="center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12" xfId="0" applyFont="1" applyBorder="1"/>
    <xf numFmtId="0" fontId="6" fillId="0" borderId="106" xfId="0" applyFont="1" applyBorder="1"/>
    <xf numFmtId="0" fontId="6" fillId="0" borderId="107" xfId="0" applyFont="1" applyBorder="1"/>
    <xf numFmtId="0" fontId="18" fillId="0" borderId="109" xfId="0" applyFont="1" applyBorder="1"/>
    <xf numFmtId="0" fontId="6" fillId="0" borderId="85" xfId="0" applyFont="1" applyBorder="1"/>
    <xf numFmtId="0" fontId="6" fillId="0" borderId="110" xfId="0" applyFont="1" applyBorder="1"/>
    <xf numFmtId="0" fontId="18" fillId="0" borderId="111" xfId="0" applyFont="1" applyBorder="1"/>
    <xf numFmtId="0" fontId="18" fillId="0" borderId="93" xfId="0" applyFont="1" applyBorder="1"/>
    <xf numFmtId="0" fontId="18" fillId="0" borderId="90" xfId="0" applyFont="1" applyBorder="1"/>
    <xf numFmtId="0" fontId="18" fillId="0" borderId="91" xfId="0" applyFont="1" applyBorder="1"/>
    <xf numFmtId="0" fontId="18" fillId="0" borderId="1" xfId="0" applyFont="1" applyBorder="1"/>
    <xf numFmtId="1" fontId="16" fillId="0" borderId="9" xfId="0" applyNumberFormat="1" applyFont="1" applyBorder="1"/>
    <xf numFmtId="1" fontId="16" fillId="0" borderId="106" xfId="0" applyNumberFormat="1" applyFont="1" applyBorder="1"/>
    <xf numFmtId="0" fontId="35" fillId="21" borderId="113" xfId="0" applyFont="1" applyFill="1" applyBorder="1"/>
    <xf numFmtId="0" fontId="35" fillId="21" borderId="114" xfId="0" applyFont="1" applyFill="1" applyBorder="1"/>
    <xf numFmtId="0" fontId="35" fillId="21" borderId="115" xfId="0" applyFont="1" applyFill="1" applyBorder="1"/>
    <xf numFmtId="1" fontId="16" fillId="0" borderId="2" xfId="0" applyNumberFormat="1" applyFont="1" applyBorder="1"/>
    <xf numFmtId="1" fontId="16" fillId="0" borderId="108" xfId="0" applyNumberFormat="1" applyFont="1" applyBorder="1"/>
    <xf numFmtId="1" fontId="16" fillId="0" borderId="6" xfId="0" applyNumberFormat="1" applyFont="1" applyBorder="1"/>
    <xf numFmtId="1" fontId="16" fillId="0" borderId="7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91" xfId="0" applyNumberFormat="1" applyFont="1" applyBorder="1"/>
    <xf numFmtId="1" fontId="9" fillId="0" borderId="90" xfId="0" applyNumberFormat="1" applyFont="1" applyBorder="1"/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708024"/>
        <c:axId val="237708416"/>
      </c:barChart>
      <c:catAx>
        <c:axId val="23770802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7708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7708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77080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709592"/>
        <c:axId val="237709984"/>
      </c:barChart>
      <c:catAx>
        <c:axId val="23770959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7709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77099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77095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652744"/>
        <c:axId val="348649608"/>
      </c:barChart>
      <c:catAx>
        <c:axId val="348652744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64960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486496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6527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651960"/>
        <c:axId val="348650392"/>
      </c:barChart>
      <c:catAx>
        <c:axId val="348651960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6503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48650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6519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8654312"/>
        <c:axId val="348655880"/>
      </c:barChart>
      <c:catAx>
        <c:axId val="348654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5588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4865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5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648824"/>
        <c:axId val="348649216"/>
      </c:barChart>
      <c:catAx>
        <c:axId val="348648824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6492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486492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6488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Stats'!$L$4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Stats'!$K$5:$K$11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Stats'!$M$4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Stats'!$K$5:$K$11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Stats'!$N$4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Stats'!$K$5:$K$11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Stats'!$N$5:$N$11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650784"/>
        <c:axId val="348651176"/>
      </c:barChart>
      <c:catAx>
        <c:axId val="3486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51176"/>
        <c:crosses val="autoZero"/>
        <c:auto val="1"/>
        <c:lblAlgn val="ctr"/>
        <c:lblOffset val="100"/>
        <c:noMultiLvlLbl val="0"/>
      </c:catAx>
      <c:valAx>
        <c:axId val="34865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Stats'!$I$4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19696"/>
        <c:axId val="349520480"/>
      </c:scatterChart>
      <c:valAx>
        <c:axId val="34951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20480"/>
        <c:crosses val="autoZero"/>
        <c:crossBetween val="midCat"/>
      </c:valAx>
      <c:valAx>
        <c:axId val="34952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1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Stats'!$L$29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Stats'!$K$30:$K$36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Stats'!$M$29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Stats'!$K$30:$K$36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Stats'!$N$29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Stats'!$K$30:$K$36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Stats'!$N$30:$N$36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519408"/>
        <c:axId val="474517448"/>
      </c:barChart>
      <c:catAx>
        <c:axId val="47451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17448"/>
        <c:crosses val="autoZero"/>
        <c:auto val="1"/>
        <c:lblAlgn val="ctr"/>
        <c:lblOffset val="100"/>
        <c:noMultiLvlLbl val="0"/>
      </c:catAx>
      <c:valAx>
        <c:axId val="47451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1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522048"/>
        <c:axId val="349522832"/>
      </c:barChart>
      <c:catAx>
        <c:axId val="34952204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52283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495228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5220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520872"/>
        <c:axId val="349521264"/>
      </c:barChart>
      <c:catAx>
        <c:axId val="34952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52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521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5208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</xdr:colOff>
      <xdr:row>13</xdr:row>
      <xdr:rowOff>22860</xdr:rowOff>
    </xdr:from>
    <xdr:to>
      <xdr:col>15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7620</xdr:colOff>
      <xdr:row>36</xdr:row>
      <xdr:rowOff>106680</xdr:rowOff>
    </xdr:from>
    <xdr:to>
      <xdr:col>9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38</xdr:row>
      <xdr:rowOff>61911</xdr:rowOff>
    </xdr:from>
    <xdr:to>
      <xdr:col>15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95250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0</xdr:rowOff>
        </xdr:from>
        <xdr:to>
          <xdr:col>9</xdr:col>
          <xdr:colOff>314325</xdr:colOff>
          <xdr:row>4</xdr:row>
          <xdr:rowOff>95250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22</xdr:row>
          <xdr:rowOff>9525</xdr:rowOff>
        </xdr:from>
        <xdr:to>
          <xdr:col>6</xdr:col>
          <xdr:colOff>352425</xdr:colOff>
          <xdr:row>22</xdr:row>
          <xdr:rowOff>295275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40</xdr:row>
          <xdr:rowOff>19050</xdr:rowOff>
        </xdr:from>
        <xdr:to>
          <xdr:col>6</xdr:col>
          <xdr:colOff>323850</xdr:colOff>
          <xdr:row>40</xdr:row>
          <xdr:rowOff>314325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58</xdr:row>
          <xdr:rowOff>19050</xdr:rowOff>
        </xdr:from>
        <xdr:to>
          <xdr:col>6</xdr:col>
          <xdr:colOff>361950</xdr:colOff>
          <xdr:row>58</xdr:row>
          <xdr:rowOff>314325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7</xdr:col>
          <xdr:colOff>485775</xdr:colOff>
          <xdr:row>4</xdr:row>
          <xdr:rowOff>47625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19050</xdr:rowOff>
        </xdr:from>
        <xdr:to>
          <xdr:col>7</xdr:col>
          <xdr:colOff>485775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topLeftCell="A7" zoomScale="85" zoomScaleNormal="130" workbookViewId="0">
      <selection activeCell="C35" sqref="C35"/>
    </sheetView>
  </sheetViews>
  <sheetFormatPr defaultColWidth="9.140625" defaultRowHeight="15" x14ac:dyDescent="0.2"/>
  <cols>
    <col min="1" max="1" width="9.140625" style="38"/>
    <col min="2" max="2" width="8.28515625" style="38" customWidth="1"/>
    <col min="3" max="4" width="8.28515625" style="49" customWidth="1"/>
    <col min="5" max="6" width="8.28515625" style="51" customWidth="1"/>
    <col min="7" max="7" width="8.28515625" style="49" customWidth="1"/>
    <col min="8" max="9" width="11.7109375" style="49" customWidth="1"/>
    <col min="10" max="16384" width="9.140625" style="38"/>
  </cols>
  <sheetData>
    <row r="1" spans="2:13" ht="15.75" thickBot="1" x14ac:dyDescent="0.25"/>
    <row r="2" spans="2:13" ht="15.75" x14ac:dyDescent="0.25">
      <c r="B2" s="335" t="str">
        <f>"AMOUNT OF FRUIT CONFISCATED AT " &amp; Location &amp; " (kg)"</f>
        <v>AMOUNT OF FRUIT CONFISCATED AT PINNAROO (kg)</v>
      </c>
      <c r="C2" s="336"/>
      <c r="D2" s="336"/>
      <c r="E2" s="336"/>
      <c r="F2" s="336"/>
      <c r="G2" s="336"/>
      <c r="H2" s="336"/>
      <c r="I2" s="336"/>
      <c r="J2" s="337"/>
      <c r="K2" s="337"/>
      <c r="L2" s="338"/>
    </row>
    <row r="3" spans="2:13" ht="16.5" thickBot="1" x14ac:dyDescent="0.3">
      <c r="B3" s="339" t="str">
        <f>Month &amp;  " " &amp; Year</f>
        <v>August 2017</v>
      </c>
      <c r="C3" s="340"/>
      <c r="D3" s="340"/>
      <c r="E3" s="340"/>
      <c r="F3" s="340"/>
      <c r="G3" s="340"/>
      <c r="H3" s="340"/>
      <c r="I3" s="340"/>
      <c r="J3" s="341"/>
      <c r="K3" s="341"/>
      <c r="L3" s="342"/>
    </row>
    <row r="4" spans="2:13" s="50" customFormat="1" ht="49.5" customHeight="1" thickBot="1" x14ac:dyDescent="0.25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75" x14ac:dyDescent="0.25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5" thickBot="1" x14ac:dyDescent="0.3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75" x14ac:dyDescent="0.25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35" sqref="C35"/>
    </sheetView>
  </sheetViews>
  <sheetFormatPr defaultColWidth="9.140625" defaultRowHeight="15" x14ac:dyDescent="0.2"/>
  <cols>
    <col min="1" max="1" width="9.140625" style="38"/>
    <col min="2" max="2" width="10.42578125" style="38" customWidth="1"/>
    <col min="3" max="3" width="12" style="49" customWidth="1"/>
    <col min="4" max="4" width="11.140625" style="49" customWidth="1"/>
    <col min="5" max="5" width="10.42578125" style="49" customWidth="1"/>
    <col min="6" max="6" width="11" style="49" customWidth="1"/>
    <col min="7" max="7" width="10.28515625" style="49" customWidth="1"/>
    <col min="8" max="8" width="10.5703125" style="49" customWidth="1"/>
    <col min="9" max="9" width="12.140625" style="49" customWidth="1"/>
    <col min="10" max="16384" width="9.140625" style="38"/>
  </cols>
  <sheetData>
    <row r="1" spans="2:9" ht="15.75" thickBot="1" x14ac:dyDescent="0.25"/>
    <row r="2" spans="2:9" ht="15.75" x14ac:dyDescent="0.2">
      <c r="B2" s="343" t="str">
        <f>"COMMERCIAL VEHICLES PASSING THROUGH " &amp; Location</f>
        <v>COMMERCIAL VEHICLES PASSING THROUGH PINNAROO</v>
      </c>
      <c r="C2" s="344"/>
      <c r="D2" s="344"/>
      <c r="E2" s="344"/>
      <c r="F2" s="344"/>
      <c r="G2" s="344"/>
      <c r="H2" s="344"/>
      <c r="I2" s="345"/>
    </row>
    <row r="3" spans="2:9" ht="22.9" customHeight="1" thickBot="1" x14ac:dyDescent="0.25">
      <c r="B3" s="346" t="str">
        <f>Month &amp; " " &amp; Year</f>
        <v>August 2017</v>
      </c>
      <c r="C3" s="347"/>
      <c r="D3" s="347"/>
      <c r="E3" s="347"/>
      <c r="F3" s="347"/>
      <c r="G3" s="347"/>
      <c r="H3" s="347"/>
      <c r="I3" s="348"/>
    </row>
    <row r="4" spans="2:9" s="5" customFormat="1" ht="16.5" thickBot="1" x14ac:dyDescent="0.3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5" thickBot="1" x14ac:dyDescent="0.3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4" zoomScaleNormal="85" workbookViewId="0">
      <selection activeCell="G26" sqref="G26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49" t="str">
        <f xml:space="preserve"> "CARS PASSING THROUGH " &amp; Location</f>
        <v>CARS PASSING THROUGH PINNAROO</v>
      </c>
      <c r="C2" s="350"/>
      <c r="D2" s="350"/>
      <c r="E2" s="350"/>
      <c r="F2" s="350"/>
      <c r="G2" s="350"/>
      <c r="H2" s="350"/>
      <c r="I2" s="351"/>
    </row>
    <row r="3" spans="2:9" ht="18.75" thickBot="1" x14ac:dyDescent="0.25">
      <c r="B3" s="352" t="str">
        <f>Month &amp; " " &amp; Year</f>
        <v>August 2017</v>
      </c>
      <c r="C3" s="353"/>
      <c r="D3" s="353"/>
      <c r="E3" s="353"/>
      <c r="F3" s="353"/>
      <c r="G3" s="353"/>
      <c r="H3" s="353"/>
      <c r="I3" s="354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2.75" x14ac:dyDescent="0.2"/>
  <cols>
    <col min="3" max="3" width="10.5703125" customWidth="1"/>
    <col min="4" max="4" width="11.42578125" customWidth="1"/>
    <col min="5" max="5" width="11.140625" customWidth="1"/>
    <col min="6" max="6" width="10.140625" customWidth="1"/>
    <col min="7" max="7" width="10.28515625" customWidth="1"/>
    <col min="8" max="8" width="8.7109375" customWidth="1"/>
    <col min="9" max="9" width="11.42578125" customWidth="1"/>
  </cols>
  <sheetData>
    <row r="1" spans="1:9" ht="15.75" x14ac:dyDescent="0.25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.75" thickBot="1" x14ac:dyDescent="0.25">
      <c r="A2" s="352" t="e">
        <f>#REF!&amp; " " &amp;#REF!</f>
        <v>#REF!</v>
      </c>
      <c r="B2" s="353"/>
      <c r="C2" s="353"/>
      <c r="D2" s="353"/>
      <c r="E2" s="353"/>
      <c r="F2" s="353"/>
      <c r="G2" s="353"/>
      <c r="H2" s="354"/>
      <c r="I2" s="11"/>
    </row>
    <row r="3" spans="1:9" ht="25.5" x14ac:dyDescent="0.2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4.25" x14ac:dyDescent="0.2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4.25" x14ac:dyDescent="0.2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4.25" x14ac:dyDescent="0.2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4.25" x14ac:dyDescent="0.2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4.25" x14ac:dyDescent="0.2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4.25" x14ac:dyDescent="0.2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4.25" x14ac:dyDescent="0.2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4.25" x14ac:dyDescent="0.2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4.25" x14ac:dyDescent="0.2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4.25" x14ac:dyDescent="0.2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4.25" x14ac:dyDescent="0.2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4.25" x14ac:dyDescent="0.2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4.25" x14ac:dyDescent="0.2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4.25" x14ac:dyDescent="0.2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4.25" x14ac:dyDescent="0.2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4.25" x14ac:dyDescent="0.2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4.25" x14ac:dyDescent="0.2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4.25" x14ac:dyDescent="0.2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4.25" x14ac:dyDescent="0.2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4.25" x14ac:dyDescent="0.2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4.25" x14ac:dyDescent="0.2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4.25" x14ac:dyDescent="0.2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4.25" x14ac:dyDescent="0.2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4.25" x14ac:dyDescent="0.2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4.25" x14ac:dyDescent="0.2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4.25" x14ac:dyDescent="0.2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4.25" x14ac:dyDescent="0.2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4.25" x14ac:dyDescent="0.2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4.25" x14ac:dyDescent="0.2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4.25" x14ac:dyDescent="0.2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4.25" x14ac:dyDescent="0.2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">
      <c r="B53" s="6"/>
      <c r="C53" s="6"/>
      <c r="D53" s="6"/>
      <c r="E53" s="6"/>
      <c r="F53" s="6"/>
      <c r="G53" s="14"/>
      <c r="H53" s="14"/>
      <c r="I53" s="14"/>
    </row>
    <row r="54" spans="1:9" x14ac:dyDescent="0.2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opLeftCell="A22" zoomScaleNormal="85" workbookViewId="0">
      <selection activeCell="C35" sqref="C3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49" t="str">
        <f xml:space="preserve"> "CARAVANS &amp; CAMPERS PASSING THROUGH " &amp; Location</f>
        <v>CARAVANS &amp; CAMPERS PASSING THROUGH PINNAROO</v>
      </c>
      <c r="C2" s="350"/>
      <c r="D2" s="350"/>
      <c r="E2" s="350"/>
      <c r="F2" s="350"/>
      <c r="G2" s="350"/>
      <c r="H2" s="350"/>
      <c r="I2" s="351"/>
    </row>
    <row r="3" spans="2:9" ht="18.75" thickBot="1" x14ac:dyDescent="0.25">
      <c r="B3" s="352" t="str">
        <f>Month &amp; " " &amp; Year</f>
        <v>August 2017</v>
      </c>
      <c r="C3" s="353"/>
      <c r="D3" s="353"/>
      <c r="E3" s="353"/>
      <c r="F3" s="353"/>
      <c r="G3" s="353"/>
      <c r="H3" s="353"/>
      <c r="I3" s="354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topLeftCell="A16" zoomScale="70" zoomScaleNormal="85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" style="38" customWidth="1"/>
    <col min="3" max="7" width="7.28515625" style="38" customWidth="1"/>
    <col min="8" max="8" width="10.7109375" style="38" customWidth="1"/>
    <col min="9" max="9" width="12.7109375" style="38" customWidth="1"/>
    <col min="10" max="10" width="13.140625" style="38" customWidth="1"/>
    <col min="11" max="14" width="10.7109375" style="49" customWidth="1"/>
    <col min="15" max="16384" width="9.140625" style="38"/>
  </cols>
  <sheetData>
    <row r="1" spans="2:14" ht="15.75" thickBot="1" x14ac:dyDescent="0.25"/>
    <row r="2" spans="2:14" ht="15.75" x14ac:dyDescent="0.25">
      <c r="B2" s="349" t="str">
        <f>"VEHICLES PASSING THROUGH " &amp; Location &amp; " - MIDNIGHT SHIFT "</f>
        <v xml:space="preserve">VEHICLES PASSING THROUGH PINNAROO - MIDNIGHT SHIFT 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55"/>
    </row>
    <row r="3" spans="2:14" ht="16.5" thickBot="1" x14ac:dyDescent="0.25">
      <c r="B3" s="346" t="str">
        <f>Month &amp; " " &amp; Year</f>
        <v>August 2017</v>
      </c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8"/>
    </row>
    <row r="4" spans="2:14" s="50" customFormat="1" ht="58.5" customHeight="1" thickBot="1" x14ac:dyDescent="0.25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113</v>
      </c>
      <c r="J4" s="198" t="s">
        <v>112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9">
        <v>0</v>
      </c>
      <c r="I5" s="324">
        <f t="shared" ref="I5:I35" si="0">SUM(C5:H5)</f>
        <v>0</v>
      </c>
      <c r="J5" s="322">
        <v>0</v>
      </c>
      <c r="K5" s="41">
        <v>0</v>
      </c>
      <c r="L5" s="41">
        <v>0</v>
      </c>
      <c r="M5" s="322">
        <v>0</v>
      </c>
      <c r="N5" s="52">
        <v>0</v>
      </c>
    </row>
    <row r="6" spans="2:14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20">
        <v>0</v>
      </c>
      <c r="I6" s="325">
        <f t="shared" si="0"/>
        <v>0</v>
      </c>
      <c r="J6" s="323">
        <v>0</v>
      </c>
      <c r="K6" s="44">
        <v>0</v>
      </c>
      <c r="L6" s="318">
        <v>0</v>
      </c>
      <c r="M6" s="323">
        <v>0</v>
      </c>
      <c r="N6" s="53">
        <v>0</v>
      </c>
    </row>
    <row r="7" spans="2:14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20">
        <v>0</v>
      </c>
      <c r="I7" s="325">
        <f t="shared" si="0"/>
        <v>0</v>
      </c>
      <c r="J7" s="323">
        <v>0</v>
      </c>
      <c r="K7" s="44">
        <v>0</v>
      </c>
      <c r="L7" s="318">
        <v>0</v>
      </c>
      <c r="M7" s="323">
        <v>0</v>
      </c>
      <c r="N7" s="53">
        <v>0</v>
      </c>
    </row>
    <row r="8" spans="2:14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20">
        <v>0</v>
      </c>
      <c r="I8" s="325">
        <f t="shared" si="0"/>
        <v>0</v>
      </c>
      <c r="J8" s="323">
        <v>0</v>
      </c>
      <c r="K8" s="44">
        <v>0</v>
      </c>
      <c r="L8" s="318">
        <v>0</v>
      </c>
      <c r="M8" s="323">
        <v>0</v>
      </c>
      <c r="N8" s="53">
        <v>0</v>
      </c>
    </row>
    <row r="9" spans="2:14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20">
        <v>0</v>
      </c>
      <c r="I9" s="325">
        <f t="shared" si="0"/>
        <v>0</v>
      </c>
      <c r="J9" s="323">
        <v>0</v>
      </c>
      <c r="K9" s="44">
        <v>0</v>
      </c>
      <c r="L9" s="318">
        <v>0</v>
      </c>
      <c r="M9" s="323">
        <v>0</v>
      </c>
      <c r="N9" s="53">
        <v>0</v>
      </c>
    </row>
    <row r="10" spans="2:14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20">
        <v>0</v>
      </c>
      <c r="I10" s="325">
        <f t="shared" si="0"/>
        <v>0</v>
      </c>
      <c r="J10" s="323">
        <v>0</v>
      </c>
      <c r="K10" s="44">
        <v>0</v>
      </c>
      <c r="L10" s="318">
        <v>0</v>
      </c>
      <c r="M10" s="323">
        <v>0</v>
      </c>
      <c r="N10" s="53">
        <v>0</v>
      </c>
    </row>
    <row r="11" spans="2:14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20">
        <v>0</v>
      </c>
      <c r="I11" s="325">
        <f t="shared" si="0"/>
        <v>0</v>
      </c>
      <c r="J11" s="323">
        <v>0</v>
      </c>
      <c r="K11" s="44">
        <v>0</v>
      </c>
      <c r="L11" s="318">
        <v>0</v>
      </c>
      <c r="M11" s="323">
        <v>0</v>
      </c>
      <c r="N11" s="53">
        <v>0</v>
      </c>
    </row>
    <row r="12" spans="2:14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20">
        <v>0</v>
      </c>
      <c r="I12" s="325">
        <f t="shared" si="0"/>
        <v>0</v>
      </c>
      <c r="J12" s="323">
        <v>0</v>
      </c>
      <c r="K12" s="44">
        <v>0</v>
      </c>
      <c r="L12" s="318">
        <v>0</v>
      </c>
      <c r="M12" s="323">
        <v>0</v>
      </c>
      <c r="N12" s="53">
        <v>0</v>
      </c>
    </row>
    <row r="13" spans="2:14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20">
        <v>0</v>
      </c>
      <c r="I13" s="325">
        <f t="shared" si="0"/>
        <v>0</v>
      </c>
      <c r="J13" s="323">
        <v>0</v>
      </c>
      <c r="K13" s="44">
        <v>0</v>
      </c>
      <c r="L13" s="318">
        <v>0</v>
      </c>
      <c r="M13" s="323">
        <v>0</v>
      </c>
      <c r="N13" s="53">
        <v>0</v>
      </c>
    </row>
    <row r="14" spans="2:14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20">
        <v>0</v>
      </c>
      <c r="I14" s="325">
        <f t="shared" si="0"/>
        <v>0</v>
      </c>
      <c r="J14" s="323">
        <v>0</v>
      </c>
      <c r="K14" s="44">
        <v>0</v>
      </c>
      <c r="L14" s="318">
        <v>0</v>
      </c>
      <c r="M14" s="323">
        <v>0</v>
      </c>
      <c r="N14" s="53">
        <v>0</v>
      </c>
    </row>
    <row r="15" spans="2:14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20">
        <v>0</v>
      </c>
      <c r="I15" s="325">
        <f t="shared" si="0"/>
        <v>0</v>
      </c>
      <c r="J15" s="323">
        <v>0</v>
      </c>
      <c r="K15" s="44">
        <v>0</v>
      </c>
      <c r="L15" s="318">
        <v>0</v>
      </c>
      <c r="M15" s="323">
        <v>0</v>
      </c>
      <c r="N15" s="53">
        <v>0</v>
      </c>
    </row>
    <row r="16" spans="2:14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20">
        <v>0</v>
      </c>
      <c r="I16" s="325">
        <f t="shared" si="0"/>
        <v>0</v>
      </c>
      <c r="J16" s="323">
        <v>0</v>
      </c>
      <c r="K16" s="44">
        <v>0</v>
      </c>
      <c r="L16" s="318">
        <v>0</v>
      </c>
      <c r="M16" s="323">
        <v>0</v>
      </c>
      <c r="N16" s="53">
        <v>0</v>
      </c>
    </row>
    <row r="17" spans="2:14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20">
        <v>0</v>
      </c>
      <c r="I17" s="325">
        <f t="shared" si="0"/>
        <v>0</v>
      </c>
      <c r="J17" s="323">
        <v>0</v>
      </c>
      <c r="K17" s="44">
        <v>0</v>
      </c>
      <c r="L17" s="318">
        <v>0</v>
      </c>
      <c r="M17" s="323">
        <v>0</v>
      </c>
      <c r="N17" s="53">
        <v>0</v>
      </c>
    </row>
    <row r="18" spans="2:14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20">
        <v>0</v>
      </c>
      <c r="I18" s="325">
        <f t="shared" si="0"/>
        <v>0</v>
      </c>
      <c r="J18" s="323">
        <v>0</v>
      </c>
      <c r="K18" s="44">
        <v>0</v>
      </c>
      <c r="L18" s="318">
        <v>0</v>
      </c>
      <c r="M18" s="323">
        <v>0</v>
      </c>
      <c r="N18" s="53">
        <v>0</v>
      </c>
    </row>
    <row r="19" spans="2:14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20">
        <v>0</v>
      </c>
      <c r="I19" s="325">
        <f t="shared" si="0"/>
        <v>0</v>
      </c>
      <c r="J19" s="323">
        <v>0</v>
      </c>
      <c r="K19" s="44">
        <v>0</v>
      </c>
      <c r="L19" s="318">
        <v>0</v>
      </c>
      <c r="M19" s="323">
        <v>0</v>
      </c>
      <c r="N19" s="53">
        <v>0</v>
      </c>
    </row>
    <row r="20" spans="2:14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20">
        <v>0</v>
      </c>
      <c r="I20" s="325">
        <f t="shared" si="0"/>
        <v>0</v>
      </c>
      <c r="J20" s="323">
        <v>0</v>
      </c>
      <c r="K20" s="44">
        <v>0</v>
      </c>
      <c r="L20" s="318">
        <v>0</v>
      </c>
      <c r="M20" s="323">
        <v>0</v>
      </c>
      <c r="N20" s="53">
        <v>0</v>
      </c>
    </row>
    <row r="21" spans="2:14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20">
        <v>0</v>
      </c>
      <c r="I21" s="325">
        <f t="shared" si="0"/>
        <v>0</v>
      </c>
      <c r="J21" s="323">
        <v>0</v>
      </c>
      <c r="K21" s="44">
        <v>0</v>
      </c>
      <c r="L21" s="318">
        <v>0</v>
      </c>
      <c r="M21" s="323">
        <v>0</v>
      </c>
      <c r="N21" s="53">
        <v>0</v>
      </c>
    </row>
    <row r="22" spans="2:14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20">
        <v>0</v>
      </c>
      <c r="I22" s="325">
        <f t="shared" si="0"/>
        <v>0</v>
      </c>
      <c r="J22" s="323">
        <v>0</v>
      </c>
      <c r="K22" s="44">
        <v>0</v>
      </c>
      <c r="L22" s="318">
        <v>0</v>
      </c>
      <c r="M22" s="323">
        <v>0</v>
      </c>
      <c r="N22" s="53">
        <v>0</v>
      </c>
    </row>
    <row r="23" spans="2:14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20">
        <v>0</v>
      </c>
      <c r="I23" s="325">
        <f t="shared" si="0"/>
        <v>0</v>
      </c>
      <c r="J23" s="323">
        <v>0</v>
      </c>
      <c r="K23" s="44">
        <v>0</v>
      </c>
      <c r="L23" s="318">
        <v>0</v>
      </c>
      <c r="M23" s="323">
        <v>0</v>
      </c>
      <c r="N23" s="53">
        <v>0</v>
      </c>
    </row>
    <row r="24" spans="2:14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20">
        <v>0</v>
      </c>
      <c r="I24" s="325">
        <f t="shared" si="0"/>
        <v>0</v>
      </c>
      <c r="J24" s="323">
        <v>0</v>
      </c>
      <c r="K24" s="44">
        <v>0</v>
      </c>
      <c r="L24" s="318">
        <v>0</v>
      </c>
      <c r="M24" s="323">
        <v>0</v>
      </c>
      <c r="N24" s="53">
        <v>0</v>
      </c>
    </row>
    <row r="25" spans="2:14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20">
        <v>0</v>
      </c>
      <c r="I25" s="325">
        <f t="shared" si="0"/>
        <v>0</v>
      </c>
      <c r="J25" s="323">
        <v>0</v>
      </c>
      <c r="K25" s="44">
        <v>0</v>
      </c>
      <c r="L25" s="318">
        <v>0</v>
      </c>
      <c r="M25" s="323">
        <v>0</v>
      </c>
      <c r="N25" s="53">
        <v>0</v>
      </c>
    </row>
    <row r="26" spans="2:14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20">
        <v>0</v>
      </c>
      <c r="I26" s="325">
        <f t="shared" si="0"/>
        <v>0</v>
      </c>
      <c r="J26" s="323">
        <v>0</v>
      </c>
      <c r="K26" s="44">
        <v>0</v>
      </c>
      <c r="L26" s="318">
        <v>0</v>
      </c>
      <c r="M26" s="323">
        <v>0</v>
      </c>
      <c r="N26" s="53">
        <v>0</v>
      </c>
    </row>
    <row r="27" spans="2:14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20">
        <v>0</v>
      </c>
      <c r="I27" s="325">
        <f t="shared" si="0"/>
        <v>0</v>
      </c>
      <c r="J27" s="323">
        <v>0</v>
      </c>
      <c r="K27" s="44">
        <v>0</v>
      </c>
      <c r="L27" s="318">
        <v>0</v>
      </c>
      <c r="M27" s="323">
        <v>0</v>
      </c>
      <c r="N27" s="53">
        <v>0</v>
      </c>
    </row>
    <row r="28" spans="2:14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20">
        <v>0</v>
      </c>
      <c r="I28" s="325">
        <f t="shared" si="0"/>
        <v>0</v>
      </c>
      <c r="J28" s="323">
        <v>0</v>
      </c>
      <c r="K28" s="44">
        <v>0</v>
      </c>
      <c r="L28" s="318">
        <v>0</v>
      </c>
      <c r="M28" s="323">
        <v>0</v>
      </c>
      <c r="N28" s="53">
        <v>0</v>
      </c>
    </row>
    <row r="29" spans="2:14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20">
        <v>0</v>
      </c>
      <c r="I29" s="325">
        <f t="shared" si="0"/>
        <v>0</v>
      </c>
      <c r="J29" s="323">
        <v>0</v>
      </c>
      <c r="K29" s="44">
        <v>0</v>
      </c>
      <c r="L29" s="318">
        <v>0</v>
      </c>
      <c r="M29" s="323">
        <v>0</v>
      </c>
      <c r="N29" s="53">
        <v>0</v>
      </c>
    </row>
    <row r="30" spans="2:14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20">
        <v>0</v>
      </c>
      <c r="I30" s="325">
        <f t="shared" si="0"/>
        <v>0</v>
      </c>
      <c r="J30" s="323">
        <v>0</v>
      </c>
      <c r="K30" s="44">
        <v>0</v>
      </c>
      <c r="L30" s="318">
        <v>0</v>
      </c>
      <c r="M30" s="323">
        <v>0</v>
      </c>
      <c r="N30" s="53">
        <v>0</v>
      </c>
    </row>
    <row r="31" spans="2:14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20">
        <v>0</v>
      </c>
      <c r="I31" s="325">
        <f t="shared" si="0"/>
        <v>0</v>
      </c>
      <c r="J31" s="323">
        <v>0</v>
      </c>
      <c r="K31" s="44">
        <v>0</v>
      </c>
      <c r="L31" s="318">
        <v>0</v>
      </c>
      <c r="M31" s="323">
        <v>0</v>
      </c>
      <c r="N31" s="53">
        <v>0</v>
      </c>
    </row>
    <row r="32" spans="2:14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20">
        <v>0</v>
      </c>
      <c r="I32" s="325">
        <f t="shared" si="0"/>
        <v>0</v>
      </c>
      <c r="J32" s="323">
        <v>0</v>
      </c>
      <c r="K32" s="44">
        <v>0</v>
      </c>
      <c r="L32" s="318">
        <v>0</v>
      </c>
      <c r="M32" s="323">
        <v>0</v>
      </c>
      <c r="N32" s="53">
        <v>0</v>
      </c>
    </row>
    <row r="33" spans="2:14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20">
        <v>0</v>
      </c>
      <c r="I33" s="325">
        <f t="shared" si="0"/>
        <v>0</v>
      </c>
      <c r="J33" s="323">
        <v>0</v>
      </c>
      <c r="K33" s="44">
        <v>0</v>
      </c>
      <c r="L33" s="318">
        <v>0</v>
      </c>
      <c r="M33" s="323">
        <v>0</v>
      </c>
      <c r="N33" s="53">
        <v>0</v>
      </c>
    </row>
    <row r="34" spans="2:14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20">
        <v>0</v>
      </c>
      <c r="I34" s="325">
        <f t="shared" si="0"/>
        <v>0</v>
      </c>
      <c r="J34" s="323">
        <v>0</v>
      </c>
      <c r="K34" s="44">
        <v>0</v>
      </c>
      <c r="L34" s="318">
        <v>0</v>
      </c>
      <c r="M34" s="323">
        <v>0</v>
      </c>
      <c r="N34" s="53">
        <v>0</v>
      </c>
    </row>
    <row r="35" spans="2:14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21">
        <v>0</v>
      </c>
      <c r="I35" s="326">
        <f t="shared" si="0"/>
        <v>0</v>
      </c>
      <c r="J35" s="323">
        <v>0</v>
      </c>
      <c r="K35" s="46">
        <v>0</v>
      </c>
      <c r="L35" s="46">
        <v>0</v>
      </c>
      <c r="M35" s="327">
        <v>0</v>
      </c>
      <c r="N35" s="54">
        <v>0</v>
      </c>
    </row>
    <row r="36" spans="2:14" x14ac:dyDescent="0.2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75" thickBot="1" x14ac:dyDescent="0.25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">
      <c r="C38" s="49"/>
      <c r="D38" s="49"/>
      <c r="E38" s="49"/>
      <c r="F38" s="49"/>
      <c r="G38" s="49"/>
      <c r="H38" s="49"/>
      <c r="I38" s="49"/>
      <c r="J38" s="49"/>
    </row>
    <row r="39" spans="2:14" x14ac:dyDescent="0.2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">
      <c r="C40" s="49"/>
      <c r="D40" s="49"/>
      <c r="E40" s="49"/>
      <c r="F40" s="49"/>
      <c r="G40" s="49"/>
      <c r="H40" s="49"/>
      <c r="I40" s="49"/>
      <c r="J40" s="49"/>
    </row>
    <row r="41" spans="2:14" x14ac:dyDescent="0.2">
      <c r="C41" s="49"/>
      <c r="D41" s="49"/>
      <c r="E41" s="49"/>
      <c r="F41" s="49"/>
      <c r="G41" s="49"/>
      <c r="H41" s="49"/>
      <c r="I41" s="49"/>
      <c r="J41" s="49"/>
    </row>
    <row r="42" spans="2:14" x14ac:dyDescent="0.2">
      <c r="C42" s="49"/>
      <c r="D42" s="49"/>
      <c r="E42" s="49"/>
      <c r="F42" s="49"/>
      <c r="G42" s="49"/>
      <c r="H42" s="49"/>
      <c r="I42" s="49"/>
      <c r="J42" s="49"/>
    </row>
    <row r="43" spans="2:14" x14ac:dyDescent="0.2">
      <c r="C43" s="49"/>
      <c r="D43" s="49"/>
      <c r="E43" s="49"/>
      <c r="F43" s="49"/>
      <c r="G43" s="49"/>
      <c r="H43" s="49"/>
      <c r="I43" s="49"/>
      <c r="J43" s="49"/>
    </row>
    <row r="44" spans="2:14" x14ac:dyDescent="0.2">
      <c r="C44" s="49"/>
      <c r="D44" s="49"/>
      <c r="E44" s="49"/>
      <c r="F44" s="49"/>
      <c r="G44" s="49"/>
      <c r="H44" s="49"/>
      <c r="I44" s="49"/>
      <c r="J44" s="49"/>
    </row>
    <row r="45" spans="2:14" x14ac:dyDescent="0.2">
      <c r="C45" s="49"/>
      <c r="D45" s="49"/>
      <c r="E45" s="49"/>
      <c r="F45" s="49"/>
      <c r="G45" s="49"/>
      <c r="H45" s="49"/>
      <c r="I45" s="49"/>
      <c r="J45" s="49"/>
    </row>
    <row r="46" spans="2:14" x14ac:dyDescent="0.2">
      <c r="C46" s="49"/>
      <c r="D46" s="49"/>
      <c r="E46" s="49"/>
      <c r="F46" s="49"/>
      <c r="G46" s="49"/>
      <c r="H46" s="49"/>
      <c r="I46" s="49"/>
      <c r="J46" s="49"/>
    </row>
    <row r="47" spans="2:14" x14ac:dyDescent="0.2">
      <c r="C47" s="49"/>
      <c r="D47" s="49"/>
      <c r="E47" s="49"/>
      <c r="F47" s="49"/>
      <c r="G47" s="49"/>
      <c r="H47" s="49"/>
      <c r="I47" s="49"/>
      <c r="J47" s="49"/>
    </row>
    <row r="48" spans="2:14" x14ac:dyDescent="0.2">
      <c r="C48" s="49"/>
      <c r="D48" s="49"/>
      <c r="E48" s="49"/>
      <c r="F48" s="49"/>
      <c r="G48" s="49"/>
      <c r="H48" s="49"/>
      <c r="I48" s="49"/>
      <c r="J48" s="49"/>
    </row>
    <row r="49" spans="3:10" x14ac:dyDescent="0.2">
      <c r="C49" s="49"/>
      <c r="D49" s="49"/>
      <c r="E49" s="49"/>
      <c r="F49" s="49"/>
      <c r="G49" s="49"/>
      <c r="H49" s="49"/>
      <c r="I49" s="49"/>
      <c r="J49" s="49"/>
    </row>
    <row r="50" spans="3:10" x14ac:dyDescent="0.2">
      <c r="C50" s="49"/>
      <c r="D50" s="49"/>
      <c r="E50" s="49"/>
      <c r="F50" s="49"/>
      <c r="G50" s="49"/>
      <c r="H50" s="49"/>
      <c r="I50" s="49"/>
      <c r="J50" s="49"/>
    </row>
    <row r="51" spans="3:10" x14ac:dyDescent="0.2">
      <c r="C51" s="49"/>
      <c r="D51" s="49"/>
      <c r="E51" s="49"/>
      <c r="F51" s="49"/>
      <c r="G51" s="49"/>
      <c r="H51" s="49"/>
      <c r="I51" s="49"/>
      <c r="J51" s="49"/>
    </row>
    <row r="52" spans="3:10" x14ac:dyDescent="0.2">
      <c r="C52" s="49"/>
      <c r="D52" s="49"/>
      <c r="E52" s="49"/>
      <c r="F52" s="49"/>
      <c r="G52" s="49"/>
      <c r="H52" s="49"/>
      <c r="I52" s="49"/>
      <c r="J52" s="49"/>
    </row>
    <row r="53" spans="3:10" x14ac:dyDescent="0.2">
      <c r="C53" s="49"/>
      <c r="D53" s="49"/>
      <c r="E53" s="49"/>
      <c r="F53" s="49"/>
      <c r="G53" s="49"/>
      <c r="H53" s="49"/>
      <c r="I53" s="49"/>
      <c r="J53" s="49"/>
    </row>
    <row r="54" spans="3:10" x14ac:dyDescent="0.2">
      <c r="C54" s="49"/>
      <c r="D54" s="49"/>
      <c r="E54" s="49"/>
      <c r="F54" s="49"/>
      <c r="G54" s="49"/>
      <c r="H54" s="49"/>
      <c r="I54" s="49"/>
      <c r="J54" s="49"/>
    </row>
    <row r="55" spans="3:10" x14ac:dyDescent="0.2">
      <c r="C55" s="49"/>
      <c r="D55" s="49"/>
      <c r="E55" s="49"/>
      <c r="F55" s="49"/>
      <c r="G55" s="49"/>
      <c r="H55" s="49"/>
      <c r="I55" s="49"/>
      <c r="J55" s="49"/>
    </row>
    <row r="56" spans="3:10" x14ac:dyDescent="0.2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O65"/>
  <sheetViews>
    <sheetView tabSelected="1" topLeftCell="A13" zoomScaleNormal="100" workbookViewId="0">
      <selection activeCell="H30" sqref="H30"/>
    </sheetView>
  </sheetViews>
  <sheetFormatPr defaultRowHeight="12.75" x14ac:dyDescent="0.2"/>
  <cols>
    <col min="1" max="1" width="2.85546875" customWidth="1"/>
    <col min="2" max="2" width="2.28515625" customWidth="1"/>
    <col min="3" max="3" width="5.7109375" customWidth="1"/>
    <col min="4" max="4" width="16" customWidth="1"/>
    <col min="5" max="9" width="14.7109375" customWidth="1"/>
    <col min="10" max="10" width="4.5703125" customWidth="1"/>
    <col min="11" max="11" width="13" customWidth="1"/>
    <col min="12" max="13" width="11.85546875" customWidth="1"/>
    <col min="14" max="14" width="12.28515625" customWidth="1"/>
    <col min="15" max="15" width="11.85546875" customWidth="1"/>
  </cols>
  <sheetData>
    <row r="2" spans="4:15" ht="13.5" thickBot="1" x14ac:dyDescent="0.25"/>
    <row r="3" spans="4:15" ht="42.75" customHeight="1" thickBot="1" x14ac:dyDescent="0.25">
      <c r="D3" s="356" t="str">
        <f>Location&amp;" - Traffic Volumes per Shift - "&amp; Month &amp; " " &amp; Year</f>
        <v>PINNAROO - Traffic Volumes per Shift - August 2017</v>
      </c>
      <c r="E3" s="357"/>
      <c r="F3" s="358"/>
      <c r="G3" s="358"/>
      <c r="H3" s="358"/>
      <c r="I3" s="359"/>
      <c r="K3" s="360" t="s">
        <v>123</v>
      </c>
      <c r="L3" s="361"/>
      <c r="M3" s="361"/>
      <c r="N3" s="361"/>
      <c r="O3" s="362"/>
    </row>
    <row r="4" spans="4:15" ht="18.75" thickBot="1" x14ac:dyDescent="0.25">
      <c r="D4" s="273" t="s">
        <v>104</v>
      </c>
      <c r="E4" s="274" t="s">
        <v>103</v>
      </c>
      <c r="F4" s="275" t="s">
        <v>101</v>
      </c>
      <c r="G4" s="275" t="s">
        <v>12</v>
      </c>
      <c r="H4" s="275" t="s">
        <v>13</v>
      </c>
      <c r="I4" s="276" t="s">
        <v>28</v>
      </c>
      <c r="K4" s="332"/>
      <c r="L4" s="333" t="s">
        <v>101</v>
      </c>
      <c r="M4" s="333" t="s">
        <v>12</v>
      </c>
      <c r="N4" s="333" t="s">
        <v>13</v>
      </c>
      <c r="O4" s="334" t="s">
        <v>28</v>
      </c>
    </row>
    <row r="5" spans="4:15" ht="15.75" x14ac:dyDescent="0.25">
      <c r="D5" s="277" t="str">
        <f t="shared" ref="D5:D35" si="0">TEXT(DATE(Year,MONTH(1&amp;Month),E5),"dddd")</f>
        <v>Tuesday</v>
      </c>
      <c r="E5" s="278">
        <v>1</v>
      </c>
      <c r="F5" s="283">
        <v>0</v>
      </c>
      <c r="G5" s="284">
        <v>0</v>
      </c>
      <c r="H5" s="285">
        <v>0</v>
      </c>
      <c r="I5" s="280">
        <f>SUM(F5:H5)</f>
        <v>0</v>
      </c>
      <c r="K5" s="329" t="s">
        <v>116</v>
      </c>
      <c r="L5" s="395">
        <f>SUMIF($D$5:$D$35,$K5,F$5:F$35)</f>
        <v>0</v>
      </c>
      <c r="M5" s="395">
        <f>SUMIF($D$5:$D$35,$K5,G$5:G$35)</f>
        <v>0</v>
      </c>
      <c r="N5" s="396">
        <f>SUMIF($D$5:$D$35,$K5,H$5:H$35)</f>
        <v>0</v>
      </c>
      <c r="O5" s="397">
        <f>SUM(L5:N5)</f>
        <v>0</v>
      </c>
    </row>
    <row r="6" spans="4:15" ht="15.75" x14ac:dyDescent="0.25">
      <c r="D6" s="277" t="str">
        <f t="shared" si="0"/>
        <v>Wednesday</v>
      </c>
      <c r="E6" s="279">
        <v>2</v>
      </c>
      <c r="F6" s="286">
        <v>0</v>
      </c>
      <c r="G6" s="271">
        <v>0</v>
      </c>
      <c r="H6" s="287">
        <v>0</v>
      </c>
      <c r="I6" s="281">
        <f t="shared" ref="I6:I35" si="1">SUM(F6:H6)</f>
        <v>0</v>
      </c>
      <c r="K6" s="328" t="s">
        <v>117</v>
      </c>
      <c r="L6" s="398">
        <f>SUMIF($D$5:$D$35,$K6,F$5:F$35)</f>
        <v>0</v>
      </c>
      <c r="M6" s="398">
        <f t="shared" ref="M6:M10" si="2">SUMIF($D$5:$D$35,$K6,G$5:G$35)</f>
        <v>0</v>
      </c>
      <c r="N6" s="399">
        <f t="shared" ref="N6:N10" si="3">SUMIF($D$5:$D$35,$K6,H$5:H$35)</f>
        <v>0</v>
      </c>
      <c r="O6" s="400">
        <f t="shared" ref="O6:O11" si="4">SUM(L6:N6)</f>
        <v>0</v>
      </c>
    </row>
    <row r="7" spans="4:15" ht="15.75" x14ac:dyDescent="0.25">
      <c r="D7" s="277" t="str">
        <f t="shared" si="0"/>
        <v>Thursday</v>
      </c>
      <c r="E7" s="279">
        <v>3</v>
      </c>
      <c r="F7" s="286">
        <v>0</v>
      </c>
      <c r="G7" s="271">
        <v>0</v>
      </c>
      <c r="H7" s="287">
        <v>0</v>
      </c>
      <c r="I7" s="281">
        <f t="shared" si="1"/>
        <v>0</v>
      </c>
      <c r="K7" s="328" t="s">
        <v>118</v>
      </c>
      <c r="L7" s="398">
        <f t="shared" ref="L7:L11" si="5">SUMIF($D$5:$D$35,$K7,F$5:F$35)</f>
        <v>0</v>
      </c>
      <c r="M7" s="398">
        <f t="shared" si="2"/>
        <v>0</v>
      </c>
      <c r="N7" s="399">
        <f t="shared" si="3"/>
        <v>0</v>
      </c>
      <c r="O7" s="400">
        <f t="shared" si="4"/>
        <v>0</v>
      </c>
    </row>
    <row r="8" spans="4:15" ht="15.75" x14ac:dyDescent="0.25">
      <c r="D8" s="277" t="str">
        <f t="shared" si="0"/>
        <v>Friday</v>
      </c>
      <c r="E8" s="279">
        <v>4</v>
      </c>
      <c r="F8" s="286">
        <v>0</v>
      </c>
      <c r="G8" s="271">
        <v>0</v>
      </c>
      <c r="H8" s="287">
        <v>0</v>
      </c>
      <c r="I8" s="281">
        <f t="shared" si="1"/>
        <v>0</v>
      </c>
      <c r="K8" s="328" t="s">
        <v>119</v>
      </c>
      <c r="L8" s="398">
        <f t="shared" si="5"/>
        <v>0</v>
      </c>
      <c r="M8" s="398">
        <f>SUMIF($D$5:$D$35,$K8,G$5:G$35)</f>
        <v>0</v>
      </c>
      <c r="N8" s="399">
        <f t="shared" si="3"/>
        <v>0</v>
      </c>
      <c r="O8" s="400">
        <f t="shared" si="4"/>
        <v>0</v>
      </c>
    </row>
    <row r="9" spans="4:15" ht="15.75" x14ac:dyDescent="0.25">
      <c r="D9" s="277" t="str">
        <f t="shared" si="0"/>
        <v>Saturday</v>
      </c>
      <c r="E9" s="279">
        <v>5</v>
      </c>
      <c r="F9" s="286">
        <v>0</v>
      </c>
      <c r="G9" s="271">
        <v>0</v>
      </c>
      <c r="H9" s="287">
        <v>0</v>
      </c>
      <c r="I9" s="281">
        <f t="shared" si="1"/>
        <v>0</v>
      </c>
      <c r="K9" s="328" t="s">
        <v>120</v>
      </c>
      <c r="L9" s="398">
        <f t="shared" si="5"/>
        <v>0</v>
      </c>
      <c r="M9" s="398">
        <f t="shared" si="2"/>
        <v>0</v>
      </c>
      <c r="N9" s="399">
        <f t="shared" si="3"/>
        <v>0</v>
      </c>
      <c r="O9" s="400">
        <f t="shared" si="4"/>
        <v>0</v>
      </c>
    </row>
    <row r="10" spans="4:15" ht="15.75" x14ac:dyDescent="0.25">
      <c r="D10" s="277" t="str">
        <f t="shared" si="0"/>
        <v>Sunday</v>
      </c>
      <c r="E10" s="279">
        <v>6</v>
      </c>
      <c r="F10" s="286">
        <v>0</v>
      </c>
      <c r="G10" s="271">
        <v>0</v>
      </c>
      <c r="H10" s="287">
        <v>0</v>
      </c>
      <c r="I10" s="281">
        <f t="shared" si="1"/>
        <v>0</v>
      </c>
      <c r="K10" s="328" t="s">
        <v>121</v>
      </c>
      <c r="L10" s="398">
        <f t="shared" si="5"/>
        <v>0</v>
      </c>
      <c r="M10" s="398">
        <f t="shared" si="2"/>
        <v>0</v>
      </c>
      <c r="N10" s="399">
        <f t="shared" si="3"/>
        <v>0</v>
      </c>
      <c r="O10" s="400">
        <f t="shared" si="4"/>
        <v>0</v>
      </c>
    </row>
    <row r="11" spans="4:15" ht="16.5" thickBot="1" x14ac:dyDescent="0.3">
      <c r="D11" s="277" t="str">
        <f t="shared" si="0"/>
        <v>Monday</v>
      </c>
      <c r="E11" s="279">
        <v>7</v>
      </c>
      <c r="F11" s="286">
        <v>0</v>
      </c>
      <c r="G11" s="271">
        <v>0</v>
      </c>
      <c r="H11" s="287">
        <v>0</v>
      </c>
      <c r="I11" s="281">
        <f t="shared" si="1"/>
        <v>0</v>
      </c>
      <c r="K11" s="330" t="s">
        <v>122</v>
      </c>
      <c r="L11" s="401">
        <f t="shared" si="5"/>
        <v>0</v>
      </c>
      <c r="M11" s="401">
        <f>SUMIF($D$5:$D$35,$K11,G$5:G$35)</f>
        <v>0</v>
      </c>
      <c r="N11" s="402">
        <f>SUMIF($D$5:$D$35,$K11,H$5:H$35)</f>
        <v>0</v>
      </c>
      <c r="O11" s="403">
        <f t="shared" si="4"/>
        <v>0</v>
      </c>
    </row>
    <row r="12" spans="4:15" ht="16.5" thickBot="1" x14ac:dyDescent="0.3">
      <c r="D12" s="277" t="str">
        <f t="shared" si="0"/>
        <v>Tuesday</v>
      </c>
      <c r="E12" s="279">
        <v>8</v>
      </c>
      <c r="F12" s="286">
        <v>0</v>
      </c>
      <c r="G12" s="271">
        <v>0</v>
      </c>
      <c r="H12" s="287">
        <v>0</v>
      </c>
      <c r="I12" s="281">
        <f t="shared" si="1"/>
        <v>0</v>
      </c>
      <c r="K12" s="331" t="s">
        <v>124</v>
      </c>
      <c r="L12" s="404">
        <f>SUM(L5:L11)</f>
        <v>0</v>
      </c>
      <c r="M12" s="405">
        <f t="shared" ref="M12:N12" si="6">SUM(M5:M11)</f>
        <v>0</v>
      </c>
      <c r="N12" s="406">
        <f t="shared" si="6"/>
        <v>0</v>
      </c>
      <c r="O12" s="407">
        <f>SUM(L12:N12)</f>
        <v>0</v>
      </c>
    </row>
    <row r="13" spans="4:15" ht="15" x14ac:dyDescent="0.2">
      <c r="D13" s="277" t="str">
        <f t="shared" si="0"/>
        <v>Wednesday</v>
      </c>
      <c r="E13" s="279">
        <v>9</v>
      </c>
      <c r="F13" s="286">
        <v>0</v>
      </c>
      <c r="G13" s="271">
        <v>0</v>
      </c>
      <c r="H13" s="287">
        <v>0</v>
      </c>
      <c r="I13" s="281">
        <f t="shared" si="1"/>
        <v>0</v>
      </c>
    </row>
    <row r="14" spans="4:15" ht="15" x14ac:dyDescent="0.2">
      <c r="D14" s="277" t="str">
        <f t="shared" si="0"/>
        <v>Thursday</v>
      </c>
      <c r="E14" s="279">
        <v>10</v>
      </c>
      <c r="F14" s="286">
        <v>0</v>
      </c>
      <c r="G14" s="271">
        <v>0</v>
      </c>
      <c r="H14" s="287">
        <v>0</v>
      </c>
      <c r="I14" s="281">
        <f t="shared" si="1"/>
        <v>0</v>
      </c>
    </row>
    <row r="15" spans="4:15" ht="15" x14ac:dyDescent="0.2">
      <c r="D15" s="277" t="str">
        <f t="shared" si="0"/>
        <v>Friday</v>
      </c>
      <c r="E15" s="279">
        <v>11</v>
      </c>
      <c r="F15" s="286">
        <v>0</v>
      </c>
      <c r="G15" s="271">
        <v>0</v>
      </c>
      <c r="H15" s="287">
        <v>0</v>
      </c>
      <c r="I15" s="281">
        <f t="shared" si="1"/>
        <v>0</v>
      </c>
    </row>
    <row r="16" spans="4:15" ht="15" x14ac:dyDescent="0.2">
      <c r="D16" s="277" t="str">
        <f t="shared" si="0"/>
        <v>Saturday</v>
      </c>
      <c r="E16" s="279">
        <v>12</v>
      </c>
      <c r="F16" s="286">
        <v>0</v>
      </c>
      <c r="G16" s="271">
        <v>0</v>
      </c>
      <c r="H16" s="287">
        <v>0</v>
      </c>
      <c r="I16" s="281">
        <f t="shared" si="1"/>
        <v>0</v>
      </c>
    </row>
    <row r="17" spans="4:15" ht="15" x14ac:dyDescent="0.2">
      <c r="D17" s="277" t="str">
        <f t="shared" si="0"/>
        <v>Sunday</v>
      </c>
      <c r="E17" s="279">
        <v>13</v>
      </c>
      <c r="F17" s="286">
        <v>0</v>
      </c>
      <c r="G17" s="271">
        <v>0</v>
      </c>
      <c r="H17" s="287">
        <v>0</v>
      </c>
      <c r="I17" s="281">
        <f t="shared" si="1"/>
        <v>0</v>
      </c>
    </row>
    <row r="18" spans="4:15" ht="15" x14ac:dyDescent="0.2">
      <c r="D18" s="277" t="str">
        <f t="shared" si="0"/>
        <v>Monday</v>
      </c>
      <c r="E18" s="279">
        <v>14</v>
      </c>
      <c r="F18" s="286">
        <v>0</v>
      </c>
      <c r="G18" s="271">
        <v>0</v>
      </c>
      <c r="H18" s="287">
        <v>0</v>
      </c>
      <c r="I18" s="281">
        <f t="shared" si="1"/>
        <v>0</v>
      </c>
    </row>
    <row r="19" spans="4:15" ht="15" x14ac:dyDescent="0.2">
      <c r="D19" s="277" t="str">
        <f t="shared" si="0"/>
        <v>Tuesday</v>
      </c>
      <c r="E19" s="279">
        <v>15</v>
      </c>
      <c r="F19" s="286">
        <v>0</v>
      </c>
      <c r="G19" s="271">
        <v>0</v>
      </c>
      <c r="H19" s="287">
        <v>0</v>
      </c>
      <c r="I19" s="281">
        <f t="shared" si="1"/>
        <v>0</v>
      </c>
    </row>
    <row r="20" spans="4:15" ht="15" x14ac:dyDescent="0.2">
      <c r="D20" s="277" t="str">
        <f t="shared" si="0"/>
        <v>Wednesday</v>
      </c>
      <c r="E20" s="279">
        <v>16</v>
      </c>
      <c r="F20" s="286">
        <v>0</v>
      </c>
      <c r="G20" s="271">
        <v>0</v>
      </c>
      <c r="H20" s="287">
        <v>0</v>
      </c>
      <c r="I20" s="281">
        <f t="shared" si="1"/>
        <v>0</v>
      </c>
    </row>
    <row r="21" spans="4:15" ht="15" x14ac:dyDescent="0.2">
      <c r="D21" s="277" t="str">
        <f t="shared" si="0"/>
        <v>Thursday</v>
      </c>
      <c r="E21" s="279">
        <v>17</v>
      </c>
      <c r="F21" s="286">
        <v>0</v>
      </c>
      <c r="G21" s="271">
        <v>0</v>
      </c>
      <c r="H21" s="287">
        <v>0</v>
      </c>
      <c r="I21" s="281">
        <f t="shared" si="1"/>
        <v>0</v>
      </c>
    </row>
    <row r="22" spans="4:15" ht="15" x14ac:dyDescent="0.2">
      <c r="D22" s="277" t="str">
        <f t="shared" si="0"/>
        <v>Friday</v>
      </c>
      <c r="E22" s="279">
        <v>18</v>
      </c>
      <c r="F22" s="286">
        <v>0</v>
      </c>
      <c r="G22" s="271">
        <v>0</v>
      </c>
      <c r="H22" s="287">
        <v>0</v>
      </c>
      <c r="I22" s="281">
        <f t="shared" si="1"/>
        <v>0</v>
      </c>
    </row>
    <row r="23" spans="4:15" ht="15" x14ac:dyDescent="0.2">
      <c r="D23" s="277" t="str">
        <f t="shared" si="0"/>
        <v>Saturday</v>
      </c>
      <c r="E23" s="279">
        <v>19</v>
      </c>
      <c r="F23" s="286">
        <v>0</v>
      </c>
      <c r="G23" s="271">
        <v>0</v>
      </c>
      <c r="H23" s="287">
        <v>0</v>
      </c>
      <c r="I23" s="281">
        <f t="shared" si="1"/>
        <v>0</v>
      </c>
    </row>
    <row r="24" spans="4:15" ht="15" x14ac:dyDescent="0.2">
      <c r="D24" s="277" t="str">
        <f t="shared" si="0"/>
        <v>Sunday</v>
      </c>
      <c r="E24" s="279">
        <v>20</v>
      </c>
      <c r="F24" s="286">
        <v>0</v>
      </c>
      <c r="G24" s="271">
        <v>0</v>
      </c>
      <c r="H24" s="287">
        <v>0</v>
      </c>
      <c r="I24" s="281">
        <f t="shared" si="1"/>
        <v>0</v>
      </c>
    </row>
    <row r="25" spans="4:15" ht="15" x14ac:dyDescent="0.2">
      <c r="D25" s="277" t="str">
        <f t="shared" si="0"/>
        <v>Monday</v>
      </c>
      <c r="E25" s="279">
        <v>21</v>
      </c>
      <c r="F25" s="286">
        <v>0</v>
      </c>
      <c r="G25" s="271">
        <v>0</v>
      </c>
      <c r="H25" s="287">
        <v>0</v>
      </c>
      <c r="I25" s="281">
        <f t="shared" si="1"/>
        <v>0</v>
      </c>
    </row>
    <row r="26" spans="4:15" ht="15.75" thickBot="1" x14ac:dyDescent="0.25">
      <c r="D26" s="277" t="str">
        <f t="shared" si="0"/>
        <v>Tuesday</v>
      </c>
      <c r="E26" s="279">
        <v>22</v>
      </c>
      <c r="F26" s="286">
        <v>0</v>
      </c>
      <c r="G26" s="271">
        <v>0</v>
      </c>
      <c r="H26" s="287">
        <v>0</v>
      </c>
      <c r="I26" s="281">
        <f t="shared" si="1"/>
        <v>0</v>
      </c>
    </row>
    <row r="27" spans="4:15" ht="16.5" customHeight="1" x14ac:dyDescent="0.2">
      <c r="D27" s="277" t="str">
        <f t="shared" si="0"/>
        <v>Wednesday</v>
      </c>
      <c r="E27" s="279">
        <v>23</v>
      </c>
      <c r="F27" s="286">
        <v>0</v>
      </c>
      <c r="G27" s="271">
        <v>0</v>
      </c>
      <c r="H27" s="287">
        <v>0</v>
      </c>
      <c r="I27" s="281">
        <f t="shared" si="1"/>
        <v>0</v>
      </c>
      <c r="K27" s="389" t="s">
        <v>125</v>
      </c>
      <c r="L27" s="390"/>
      <c r="M27" s="390"/>
      <c r="N27" s="390"/>
      <c r="O27" s="391"/>
    </row>
    <row r="28" spans="4:15" ht="16.5" customHeight="1" thickBot="1" x14ac:dyDescent="0.25">
      <c r="D28" s="277" t="str">
        <f t="shared" si="0"/>
        <v>Thursday</v>
      </c>
      <c r="E28" s="279">
        <v>24</v>
      </c>
      <c r="F28" s="286">
        <v>0</v>
      </c>
      <c r="G28" s="271">
        <v>0</v>
      </c>
      <c r="H28" s="287">
        <v>0</v>
      </c>
      <c r="I28" s="281">
        <f t="shared" si="1"/>
        <v>0</v>
      </c>
      <c r="K28" s="392"/>
      <c r="L28" s="393"/>
      <c r="M28" s="393"/>
      <c r="N28" s="393"/>
      <c r="O28" s="394"/>
    </row>
    <row r="29" spans="4:15" ht="15.75" customHeight="1" thickBot="1" x14ac:dyDescent="0.25">
      <c r="D29" s="277" t="str">
        <f t="shared" si="0"/>
        <v>Friday</v>
      </c>
      <c r="E29" s="279">
        <v>25</v>
      </c>
      <c r="F29" s="286">
        <v>0</v>
      </c>
      <c r="G29" s="271">
        <v>0</v>
      </c>
      <c r="H29" s="287">
        <v>0</v>
      </c>
      <c r="I29" s="281">
        <f t="shared" si="1"/>
        <v>0</v>
      </c>
      <c r="K29" s="332"/>
      <c r="L29" s="333" t="s">
        <v>101</v>
      </c>
      <c r="M29" s="333" t="s">
        <v>12</v>
      </c>
      <c r="N29" s="333" t="s">
        <v>13</v>
      </c>
      <c r="O29" s="334" t="s">
        <v>126</v>
      </c>
    </row>
    <row r="30" spans="4:15" ht="15.75" x14ac:dyDescent="0.25">
      <c r="D30" s="277" t="str">
        <f t="shared" si="0"/>
        <v>Saturday</v>
      </c>
      <c r="E30" s="279">
        <v>26</v>
      </c>
      <c r="F30" s="286">
        <v>0</v>
      </c>
      <c r="G30" s="271">
        <v>0</v>
      </c>
      <c r="H30" s="287">
        <v>0</v>
      </c>
      <c r="I30" s="281">
        <f t="shared" si="1"/>
        <v>0</v>
      </c>
      <c r="K30" s="410" t="s">
        <v>116</v>
      </c>
      <c r="L30" s="413">
        <f>AVERAGEIF(D$5:D$35,K30,F$5:F$35)</f>
        <v>0</v>
      </c>
      <c r="M30" s="408">
        <f>AVERAGEIF(D$5:D$35,K30,G$5:G$35)</f>
        <v>0</v>
      </c>
      <c r="N30" s="408">
        <f>AVERAGEIF(D$5:D$35,K30,H$5:H$35)</f>
        <v>0</v>
      </c>
      <c r="O30" s="418">
        <f>AVERAGE(L30:N30)</f>
        <v>0</v>
      </c>
    </row>
    <row r="31" spans="4:15" ht="15.75" x14ac:dyDescent="0.25">
      <c r="D31" s="277" t="str">
        <f t="shared" si="0"/>
        <v>Sunday</v>
      </c>
      <c r="E31" s="279">
        <v>27</v>
      </c>
      <c r="F31" s="286">
        <v>0</v>
      </c>
      <c r="G31" s="271">
        <v>0</v>
      </c>
      <c r="H31" s="287">
        <v>0</v>
      </c>
      <c r="I31" s="281">
        <f t="shared" si="1"/>
        <v>0</v>
      </c>
      <c r="K31" s="411" t="s">
        <v>117</v>
      </c>
      <c r="L31" s="414">
        <f>AVERAGEIF(D$5:D$35,K31,F$5:F$35)</f>
        <v>0</v>
      </c>
      <c r="M31" s="409">
        <f>AVERAGEIF(D$5:D$35,K31,G$5:G$35)</f>
        <v>0</v>
      </c>
      <c r="N31" s="409">
        <f>AVERAGEIF(D$5:D$35,K31,H$5:H$35)</f>
        <v>0</v>
      </c>
      <c r="O31" s="419">
        <f>AVERAGE(L31:N31)</f>
        <v>0</v>
      </c>
    </row>
    <row r="32" spans="4:15" ht="15.75" x14ac:dyDescent="0.25">
      <c r="D32" s="277" t="str">
        <f t="shared" si="0"/>
        <v>Monday</v>
      </c>
      <c r="E32" s="279">
        <v>28</v>
      </c>
      <c r="F32" s="286">
        <v>0</v>
      </c>
      <c r="G32" s="271">
        <v>0</v>
      </c>
      <c r="H32" s="287">
        <v>0</v>
      </c>
      <c r="I32" s="281">
        <f t="shared" si="1"/>
        <v>0</v>
      </c>
      <c r="K32" s="411" t="s">
        <v>118</v>
      </c>
      <c r="L32" s="414">
        <f>AVERAGEIF(D$5:D$35,K32,F$5:F$35)</f>
        <v>0</v>
      </c>
      <c r="M32" s="409">
        <f>AVERAGEIF(D$5:D$35,K32,G$5:G$35)</f>
        <v>0</v>
      </c>
      <c r="N32" s="409">
        <f>AVERAGEIF(D$5:D$35,K32,H$5:H$35)</f>
        <v>0</v>
      </c>
      <c r="O32" s="419">
        <f t="shared" ref="O32:O36" si="7">AVERAGE(L32:N32)</f>
        <v>0</v>
      </c>
    </row>
    <row r="33" spans="4:15" ht="15.75" x14ac:dyDescent="0.25">
      <c r="D33" s="277" t="str">
        <f t="shared" si="0"/>
        <v>Tuesday</v>
      </c>
      <c r="E33" s="279">
        <v>29</v>
      </c>
      <c r="F33" s="286">
        <v>0</v>
      </c>
      <c r="G33" s="271">
        <v>0</v>
      </c>
      <c r="H33" s="287">
        <v>0</v>
      </c>
      <c r="I33" s="281">
        <f t="shared" si="1"/>
        <v>0</v>
      </c>
      <c r="K33" s="411" t="s">
        <v>119</v>
      </c>
      <c r="L33" s="414">
        <f>AVERAGEIF(D$5:D$35,K33,F$5:F$35)</f>
        <v>0</v>
      </c>
      <c r="M33" s="409">
        <f>AVERAGEIF(D$5:D$35,K33,G$5:G$35)</f>
        <v>0</v>
      </c>
      <c r="N33" s="409">
        <f>AVERAGEIF(D$5:D$35,K33,H$5:H$35)</f>
        <v>0</v>
      </c>
      <c r="O33" s="419">
        <f t="shared" si="7"/>
        <v>0</v>
      </c>
    </row>
    <row r="34" spans="4:15" ht="15.75" x14ac:dyDescent="0.25">
      <c r="D34" s="277" t="str">
        <f t="shared" si="0"/>
        <v>Wednesday</v>
      </c>
      <c r="E34" s="279">
        <v>30</v>
      </c>
      <c r="F34" s="286">
        <v>0</v>
      </c>
      <c r="G34" s="271">
        <v>0</v>
      </c>
      <c r="H34" s="287">
        <v>0</v>
      </c>
      <c r="I34" s="281">
        <f t="shared" si="1"/>
        <v>0</v>
      </c>
      <c r="K34" s="411" t="s">
        <v>120</v>
      </c>
      <c r="L34" s="414">
        <f>AVERAGEIF(D$5:D$35,K34,F$5:F$35)</f>
        <v>0</v>
      </c>
      <c r="M34" s="409">
        <f>AVERAGEIF(D$5:D$35,K34,G$5:G$35)</f>
        <v>0</v>
      </c>
      <c r="N34" s="409">
        <f>AVERAGEIF(D$5:D$35,K34,H$5:H$35)</f>
        <v>0</v>
      </c>
      <c r="O34" s="419">
        <f t="shared" si="7"/>
        <v>0</v>
      </c>
    </row>
    <row r="35" spans="4:15" ht="16.5" thickBot="1" x14ac:dyDescent="0.3">
      <c r="D35" s="277" t="str">
        <f t="shared" si="0"/>
        <v>Thursday</v>
      </c>
      <c r="E35" s="288">
        <v>31</v>
      </c>
      <c r="F35" s="289">
        <v>0</v>
      </c>
      <c r="G35" s="272">
        <v>0</v>
      </c>
      <c r="H35" s="290">
        <v>0</v>
      </c>
      <c r="I35" s="282">
        <f t="shared" si="1"/>
        <v>0</v>
      </c>
      <c r="K35" s="411" t="s">
        <v>121</v>
      </c>
      <c r="L35" s="414">
        <f>AVERAGEIF(D$5:D$35,K35,F$5:F$35)</f>
        <v>0</v>
      </c>
      <c r="M35" s="409">
        <f>AVERAGEIF(D$5:D$35,K35,G$5:G$35)</f>
        <v>0</v>
      </c>
      <c r="N35" s="409">
        <f>AVERAGEIF(D$5:D$35,K35,H$5:H$35)</f>
        <v>0</v>
      </c>
      <c r="O35" s="419">
        <f t="shared" si="7"/>
        <v>0</v>
      </c>
    </row>
    <row r="36" spans="4:15" ht="16.5" customHeight="1" thickBot="1" x14ac:dyDescent="0.3">
      <c r="D36" s="295"/>
      <c r="E36" s="296" t="s">
        <v>102</v>
      </c>
      <c r="F36" s="291">
        <f>SUM(F5:F35)</f>
        <v>0</v>
      </c>
      <c r="G36" s="292">
        <f t="shared" ref="G36:I36" si="8">SUM(G5:G35)</f>
        <v>0</v>
      </c>
      <c r="H36" s="293">
        <f t="shared" si="8"/>
        <v>0</v>
      </c>
      <c r="I36" s="294">
        <f t="shared" si="8"/>
        <v>0</v>
      </c>
      <c r="K36" s="412" t="s">
        <v>122</v>
      </c>
      <c r="L36" s="415">
        <f>AVERAGEIF(D$5:D$35,K36,F$5:F$35)</f>
        <v>0</v>
      </c>
      <c r="M36" s="416">
        <f>AVERAGEIF(D$5:D$35,K36,G$5:G$35)</f>
        <v>0</v>
      </c>
      <c r="N36" s="416">
        <f>AVERAGEIF(D$5:D$35,K36,H$5:H$35)</f>
        <v>0</v>
      </c>
      <c r="O36" s="419">
        <f t="shared" si="7"/>
        <v>0</v>
      </c>
    </row>
    <row r="37" spans="4:15" ht="16.5" customHeight="1" thickBot="1" x14ac:dyDescent="0.3">
      <c r="D37" s="270"/>
      <c r="E37" s="270"/>
      <c r="K37" s="417" t="s">
        <v>126</v>
      </c>
      <c r="L37" s="421">
        <f>AVERAGE(L30:L36)</f>
        <v>0</v>
      </c>
      <c r="M37" s="421">
        <f t="shared" ref="M37:N37" si="9">AVERAGE(M30:M36)</f>
        <v>0</v>
      </c>
      <c r="N37" s="421">
        <f t="shared" si="9"/>
        <v>0</v>
      </c>
      <c r="O37" s="420"/>
    </row>
    <row r="38" spans="4:15" ht="16.5" customHeight="1" x14ac:dyDescent="0.2">
      <c r="D38" s="270"/>
      <c r="E38" s="270"/>
    </row>
    <row r="39" spans="4:15" ht="16.5" customHeight="1" x14ac:dyDescent="0.2">
      <c r="D39" s="270"/>
      <c r="E39" s="270"/>
    </row>
    <row r="40" spans="4:15" ht="16.5" customHeight="1" x14ac:dyDescent="0.2">
      <c r="D40" s="270"/>
      <c r="E40" s="270"/>
    </row>
    <row r="41" spans="4:15" ht="16.5" customHeight="1" x14ac:dyDescent="0.2">
      <c r="D41" s="270"/>
      <c r="E41" s="270"/>
    </row>
    <row r="42" spans="4:15" ht="16.5" customHeight="1" x14ac:dyDescent="0.2">
      <c r="D42" s="270"/>
      <c r="E42" s="270"/>
    </row>
    <row r="43" spans="4:15" ht="16.5" customHeight="1" x14ac:dyDescent="0.2">
      <c r="D43" s="270"/>
      <c r="E43" s="270"/>
    </row>
    <row r="44" spans="4:15" ht="16.5" customHeight="1" x14ac:dyDescent="0.2">
      <c r="D44" s="270"/>
      <c r="E44" s="270"/>
    </row>
    <row r="45" spans="4:15" ht="16.5" customHeight="1" x14ac:dyDescent="0.2"/>
    <row r="46" spans="4:15" ht="16.5" customHeight="1" x14ac:dyDescent="0.2"/>
    <row r="47" spans="4:15" ht="16.5" customHeight="1" x14ac:dyDescent="0.2"/>
    <row r="48" spans="4:15" ht="16.5" customHeight="1" x14ac:dyDescent="0.2"/>
    <row r="49" ht="16.5" customHeight="1" x14ac:dyDescent="0.2"/>
    <row r="50" ht="16.5" customHeight="1" x14ac:dyDescent="0.2"/>
    <row r="51" ht="16.5" customHeight="1" x14ac:dyDescent="0.2"/>
    <row r="52" ht="16.5" customHeight="1" x14ac:dyDescent="0.2"/>
    <row r="53" ht="16.5" customHeight="1" x14ac:dyDescent="0.2"/>
    <row r="54" ht="16.5" customHeight="1" x14ac:dyDescent="0.2"/>
    <row r="55" ht="16.5" customHeight="1" x14ac:dyDescent="0.2"/>
    <row r="56" ht="16.5" customHeight="1" x14ac:dyDescent="0.2"/>
    <row r="57" ht="16.5" customHeight="1" x14ac:dyDescent="0.2"/>
    <row r="58" ht="16.5" customHeight="1" x14ac:dyDescent="0.2"/>
    <row r="59" ht="16.5" customHeight="1" x14ac:dyDescent="0.2"/>
    <row r="60" ht="16.5" customHeight="1" x14ac:dyDescent="0.2"/>
    <row r="61" ht="16.5" customHeight="1" x14ac:dyDescent="0.2"/>
    <row r="62" ht="16.5" customHeight="1" x14ac:dyDescent="0.2"/>
    <row r="63" ht="16.5" customHeight="1" x14ac:dyDescent="0.2"/>
    <row r="64" ht="16.5" customHeight="1" x14ac:dyDescent="0.2"/>
    <row r="65" ht="16.5" customHeight="1" x14ac:dyDescent="0.2"/>
  </sheetData>
  <sheetProtection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3">
    <mergeCell ref="K27:O28"/>
    <mergeCell ref="D3:I3"/>
    <mergeCell ref="K3:O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40625" defaultRowHeight="15" x14ac:dyDescent="0.2"/>
  <cols>
    <col min="1" max="1" width="4.42578125" style="58" customWidth="1"/>
    <col min="2" max="2" width="4.7109375" style="58" customWidth="1"/>
    <col min="3" max="3" width="7.7109375" style="58" customWidth="1"/>
    <col min="4" max="9" width="8.7109375" style="58" customWidth="1"/>
    <col min="10" max="10" width="13" style="58" customWidth="1"/>
    <col min="11" max="16384" width="9.140625" style="58"/>
  </cols>
  <sheetData>
    <row r="1" spans="3:10" ht="15.75" thickBot="1" x14ac:dyDescent="0.25"/>
    <row r="2" spans="3:10" ht="15.75" x14ac:dyDescent="0.2">
      <c r="C2" s="363" t="str">
        <f xml:space="preserve"> "VEHICLES WITH FRUIT PASSING THROUGH " &amp; Location</f>
        <v>VEHICLES WITH FRUIT PASSING THROUGH PINNAROO</v>
      </c>
      <c r="D2" s="364"/>
      <c r="E2" s="364"/>
      <c r="F2" s="364"/>
      <c r="G2" s="364"/>
      <c r="H2" s="364"/>
      <c r="I2" s="364"/>
      <c r="J2" s="365"/>
    </row>
    <row r="3" spans="3:10" ht="16.5" thickBot="1" x14ac:dyDescent="0.25">
      <c r="C3" s="366" t="str">
        <f>Month &amp; " " &amp; Year</f>
        <v>August 2017</v>
      </c>
      <c r="D3" s="367"/>
      <c r="E3" s="367"/>
      <c r="F3" s="367"/>
      <c r="G3" s="367"/>
      <c r="H3" s="367"/>
      <c r="I3" s="367"/>
      <c r="J3" s="368"/>
    </row>
    <row r="4" spans="3:10" s="60" customFormat="1" ht="48" thickBot="1" x14ac:dyDescent="0.25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75" x14ac:dyDescent="0.25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75" x14ac:dyDescent="0.25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75" x14ac:dyDescent="0.25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75" x14ac:dyDescent="0.25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75" x14ac:dyDescent="0.25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75" x14ac:dyDescent="0.25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75" x14ac:dyDescent="0.25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75" x14ac:dyDescent="0.25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75" x14ac:dyDescent="0.25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75" x14ac:dyDescent="0.25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75" x14ac:dyDescent="0.25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75" x14ac:dyDescent="0.25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75" x14ac:dyDescent="0.25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75" x14ac:dyDescent="0.25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75" x14ac:dyDescent="0.25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75" x14ac:dyDescent="0.25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75" x14ac:dyDescent="0.25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75" x14ac:dyDescent="0.25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75" x14ac:dyDescent="0.25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75" x14ac:dyDescent="0.25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75" x14ac:dyDescent="0.25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75" x14ac:dyDescent="0.25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75" x14ac:dyDescent="0.25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75" x14ac:dyDescent="0.25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75" x14ac:dyDescent="0.25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75" x14ac:dyDescent="0.25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75" x14ac:dyDescent="0.25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75" x14ac:dyDescent="0.25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75" x14ac:dyDescent="0.25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75" x14ac:dyDescent="0.25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5" thickBot="1" x14ac:dyDescent="0.3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75" x14ac:dyDescent="0.25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">
      <c r="D38" s="67"/>
      <c r="E38" s="67"/>
      <c r="F38" s="67"/>
      <c r="G38" s="67"/>
      <c r="H38" s="67"/>
      <c r="I38" s="67"/>
      <c r="J38" s="67"/>
    </row>
    <row r="39" spans="3:10" x14ac:dyDescent="0.2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">
      <c r="D40" s="67"/>
      <c r="E40" s="67"/>
      <c r="F40" s="67"/>
      <c r="G40" s="67"/>
      <c r="H40" s="67"/>
      <c r="I40" s="67"/>
      <c r="J40" s="67"/>
    </row>
    <row r="41" spans="3:10" x14ac:dyDescent="0.2">
      <c r="D41" s="67"/>
      <c r="E41" s="67"/>
      <c r="F41" s="67"/>
      <c r="G41" s="67"/>
      <c r="H41" s="67"/>
      <c r="I41" s="67"/>
      <c r="J41" s="67"/>
    </row>
    <row r="42" spans="3:10" x14ac:dyDescent="0.2">
      <c r="D42" s="67"/>
      <c r="E42" s="67"/>
      <c r="F42" s="67"/>
      <c r="G42" s="67"/>
      <c r="H42" s="67"/>
      <c r="I42" s="67"/>
      <c r="J42" s="67"/>
    </row>
    <row r="43" spans="3:10" x14ac:dyDescent="0.2">
      <c r="D43" s="67"/>
      <c r="E43" s="67"/>
      <c r="F43" s="67"/>
      <c r="G43" s="67"/>
      <c r="H43" s="67"/>
      <c r="I43" s="67"/>
      <c r="J43" s="67"/>
    </row>
    <row r="44" spans="3:10" x14ac:dyDescent="0.2">
      <c r="D44" s="67"/>
      <c r="E44" s="67"/>
      <c r="F44" s="67"/>
      <c r="G44" s="67"/>
      <c r="H44" s="67"/>
      <c r="I44" s="67"/>
      <c r="J44" s="67"/>
    </row>
    <row r="45" spans="3:10" x14ac:dyDescent="0.2">
      <c r="D45" s="67"/>
      <c r="E45" s="67"/>
      <c r="F45" s="67"/>
      <c r="G45" s="67"/>
      <c r="H45" s="67"/>
      <c r="I45" s="67"/>
      <c r="J45" s="67"/>
    </row>
    <row r="46" spans="3:10" x14ac:dyDescent="0.2">
      <c r="D46" s="67"/>
      <c r="E46" s="67"/>
      <c r="F46" s="67"/>
      <c r="G46" s="67"/>
      <c r="H46" s="67"/>
      <c r="I46" s="67"/>
      <c r="J46" s="67"/>
    </row>
    <row r="47" spans="3:10" x14ac:dyDescent="0.2">
      <c r="D47" s="67"/>
      <c r="E47" s="67"/>
      <c r="F47" s="67"/>
      <c r="G47" s="67"/>
      <c r="H47" s="67"/>
      <c r="I47" s="67"/>
      <c r="J47" s="67"/>
    </row>
    <row r="48" spans="3:10" x14ac:dyDescent="0.2">
      <c r="D48" s="67"/>
      <c r="E48" s="67"/>
      <c r="F48" s="67"/>
      <c r="G48" s="67"/>
      <c r="H48" s="67"/>
      <c r="I48" s="67"/>
      <c r="J48" s="67"/>
    </row>
    <row r="49" spans="4:10" x14ac:dyDescent="0.2">
      <c r="D49" s="67"/>
      <c r="E49" s="67"/>
      <c r="F49" s="67"/>
      <c r="G49" s="67"/>
      <c r="H49" s="67"/>
      <c r="I49" s="67"/>
      <c r="J49" s="67"/>
    </row>
    <row r="50" spans="4:10" x14ac:dyDescent="0.2">
      <c r="D50" s="67"/>
      <c r="E50" s="67"/>
      <c r="F50" s="67"/>
      <c r="G50" s="67"/>
      <c r="H50" s="67"/>
      <c r="I50" s="67"/>
      <c r="J50" s="67"/>
    </row>
    <row r="51" spans="4:10" x14ac:dyDescent="0.2">
      <c r="D51" s="67"/>
      <c r="E51" s="67"/>
      <c r="F51" s="67"/>
      <c r="G51" s="67"/>
      <c r="H51" s="67"/>
      <c r="I51" s="67"/>
      <c r="J51" s="67"/>
    </row>
    <row r="52" spans="4:10" x14ac:dyDescent="0.2">
      <c r="D52" s="67"/>
      <c r="E52" s="67"/>
      <c r="F52" s="67"/>
      <c r="G52" s="67"/>
      <c r="H52" s="67"/>
      <c r="I52" s="67"/>
      <c r="J52" s="67"/>
    </row>
    <row r="53" spans="4:10" x14ac:dyDescent="0.2">
      <c r="D53" s="67"/>
      <c r="E53" s="67"/>
      <c r="F53" s="67"/>
      <c r="G53" s="67"/>
      <c r="H53" s="67"/>
      <c r="I53" s="67"/>
      <c r="J53" s="67"/>
    </row>
    <row r="54" spans="4:10" x14ac:dyDescent="0.2">
      <c r="D54" s="67"/>
      <c r="E54" s="67"/>
      <c r="F54" s="67"/>
      <c r="G54" s="67"/>
      <c r="H54" s="67"/>
      <c r="I54" s="67"/>
      <c r="J54" s="67"/>
    </row>
    <row r="55" spans="4:10" x14ac:dyDescent="0.2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5546875" defaultRowHeight="12.75" x14ac:dyDescent="0.2"/>
  <cols>
    <col min="1" max="3" width="4.7109375" style="101" customWidth="1"/>
    <col min="4" max="16384" width="8.85546875" style="101"/>
  </cols>
  <sheetData>
    <row r="2" spans="3:9" ht="18" x14ac:dyDescent="0.25">
      <c r="C2" s="108" t="str">
        <f>Location &amp; " Roadblock - Totals to the end of last month"</f>
        <v>PINNAROO Roadblock - Totals to the end of last month</v>
      </c>
      <c r="D2" s="109"/>
      <c r="E2" s="109"/>
      <c r="F2" s="108"/>
    </row>
    <row r="3" spans="3:9" ht="15.75" thickBot="1" x14ac:dyDescent="0.25">
      <c r="E3" s="102"/>
    </row>
    <row r="4" spans="3:9" ht="15.75" thickBot="1" x14ac:dyDescent="0.25">
      <c r="C4" s="103"/>
      <c r="D4" s="104"/>
      <c r="E4" s="265"/>
      <c r="F4" s="104"/>
      <c r="G4" s="263" t="s">
        <v>96</v>
      </c>
      <c r="H4" s="316"/>
    </row>
    <row r="5" spans="3:9" ht="15.75" thickBot="1" x14ac:dyDescent="0.25">
      <c r="C5" s="103"/>
      <c r="D5" s="104"/>
      <c r="E5" s="104"/>
      <c r="F5" s="104"/>
      <c r="G5" s="105" t="s">
        <v>98</v>
      </c>
      <c r="H5" s="266"/>
    </row>
    <row r="6" spans="3:9" ht="15.75" thickBot="1" x14ac:dyDescent="0.25">
      <c r="C6" s="103"/>
      <c r="D6" s="104"/>
      <c r="E6" s="104"/>
      <c r="F6" s="104"/>
      <c r="G6" s="310" t="s">
        <v>110</v>
      </c>
      <c r="H6" s="266"/>
    </row>
    <row r="7" spans="3:9" ht="15.75" thickBot="1" x14ac:dyDescent="0.25">
      <c r="C7" s="103"/>
      <c r="D7" s="104"/>
      <c r="E7" s="104"/>
      <c r="F7" s="104"/>
      <c r="G7" s="105" t="s">
        <v>97</v>
      </c>
      <c r="H7" s="266"/>
    </row>
    <row r="8" spans="3:9" ht="15.75" thickBot="1" x14ac:dyDescent="0.25">
      <c r="C8" s="103"/>
      <c r="D8" s="104"/>
      <c r="E8" s="104"/>
      <c r="F8" s="104"/>
      <c r="G8" s="105" t="s">
        <v>31</v>
      </c>
      <c r="H8" s="266"/>
    </row>
    <row r="9" spans="3:9" ht="15.75" thickBot="1" x14ac:dyDescent="0.25">
      <c r="G9" s="106"/>
      <c r="H9" s="107"/>
    </row>
    <row r="10" spans="3:9" ht="15.75" thickBot="1" x14ac:dyDescent="0.25">
      <c r="C10" s="103"/>
      <c r="D10" s="104"/>
      <c r="E10" s="104"/>
      <c r="F10" s="104"/>
      <c r="G10" s="105" t="s">
        <v>40</v>
      </c>
      <c r="H10" s="316"/>
    </row>
    <row r="11" spans="3:9" ht="15.75" thickBot="1" x14ac:dyDescent="0.25">
      <c r="C11" s="103"/>
      <c r="D11" s="104"/>
      <c r="E11" s="104"/>
      <c r="F11" s="104"/>
      <c r="G11" s="105" t="s">
        <v>39</v>
      </c>
      <c r="H11" s="316"/>
    </row>
    <row r="12" spans="3:9" ht="15.75" thickBot="1" x14ac:dyDescent="0.25">
      <c r="C12" s="103"/>
      <c r="D12" s="104"/>
      <c r="E12" s="104"/>
      <c r="F12" s="104"/>
      <c r="G12" s="105" t="s">
        <v>32</v>
      </c>
      <c r="H12" s="317">
        <f>SUM(H10:H11)</f>
        <v>0</v>
      </c>
    </row>
    <row r="13" spans="3:9" ht="15.75" thickBot="1" x14ac:dyDescent="0.25">
      <c r="I13" s="106"/>
    </row>
    <row r="14" spans="3:9" ht="15.75" thickBot="1" x14ac:dyDescent="0.25">
      <c r="C14" s="103"/>
      <c r="D14" s="104"/>
      <c r="E14" s="104"/>
      <c r="F14" s="104"/>
      <c r="G14" s="105" t="s">
        <v>33</v>
      </c>
      <c r="H14" s="266"/>
    </row>
    <row r="15" spans="3:9" ht="15.75" thickBot="1" x14ac:dyDescent="0.25">
      <c r="C15" s="103"/>
      <c r="D15" s="104"/>
      <c r="E15" s="104"/>
      <c r="F15" s="104"/>
      <c r="G15" s="105" t="s">
        <v>34</v>
      </c>
      <c r="H15" s="266"/>
    </row>
    <row r="16" spans="3:9" ht="15.75" thickBot="1" x14ac:dyDescent="0.25">
      <c r="C16" s="103"/>
      <c r="D16" s="104"/>
      <c r="E16" s="104"/>
      <c r="F16" s="104"/>
      <c r="G16" s="105" t="s">
        <v>35</v>
      </c>
      <c r="H16" s="266"/>
    </row>
    <row r="17" spans="3:8" ht="15.75" thickBot="1" x14ac:dyDescent="0.25">
      <c r="C17" s="103"/>
      <c r="D17" s="104"/>
      <c r="E17" s="104"/>
      <c r="F17" s="104"/>
      <c r="G17" s="105" t="s">
        <v>36</v>
      </c>
      <c r="H17" s="266"/>
    </row>
    <row r="18" spans="3:8" ht="15.75" thickBot="1" x14ac:dyDescent="0.25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75" thickBot="1" x14ac:dyDescent="0.25">
      <c r="C19" s="251"/>
      <c r="D19" s="251"/>
      <c r="E19" s="251"/>
      <c r="F19" s="251"/>
      <c r="G19" s="252"/>
      <c r="H19" s="253"/>
    </row>
    <row r="20" spans="3:8" ht="15.75" thickBot="1" x14ac:dyDescent="0.25">
      <c r="C20" s="103"/>
      <c r="D20" s="104"/>
      <c r="E20" s="104"/>
      <c r="F20" s="104"/>
      <c r="G20" s="244" t="s">
        <v>90</v>
      </c>
      <c r="H20" s="256"/>
    </row>
    <row r="21" spans="3:8" ht="13.5" thickBot="1" x14ac:dyDescent="0.25"/>
    <row r="22" spans="3:8" ht="15.75" thickBot="1" x14ac:dyDescent="0.25">
      <c r="C22" s="369" t="s">
        <v>86</v>
      </c>
      <c r="D22" s="370"/>
      <c r="E22" s="370"/>
      <c r="F22" s="370"/>
      <c r="G22" s="371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40625" defaultRowHeight="15" x14ac:dyDescent="0.25"/>
  <cols>
    <col min="1" max="1" width="9.140625" style="232"/>
    <col min="2" max="2" width="9.140625" style="232" customWidth="1"/>
    <col min="3" max="6" width="14.7109375" style="232" customWidth="1"/>
    <col min="7" max="16384" width="9.140625" style="232"/>
  </cols>
  <sheetData>
    <row r="1" spans="2:6" s="223" customFormat="1" x14ac:dyDescent="0.25"/>
    <row r="2" spans="2:6" s="223" customFormat="1" ht="23.25" x14ac:dyDescent="0.35">
      <c r="C2" s="246" t="s">
        <v>87</v>
      </c>
      <c r="D2" s="246"/>
    </row>
    <row r="3" spans="2:6" s="223" customFormat="1" ht="15.75" thickBot="1" x14ac:dyDescent="0.3"/>
    <row r="4" spans="2:6" s="223" customFormat="1" ht="15.75" thickTop="1" x14ac:dyDescent="0.25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.75" thickBot="1" x14ac:dyDescent="0.3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25">
      <c r="B6" s="228"/>
      <c r="C6" s="268"/>
      <c r="E6" s="228"/>
      <c r="F6" s="229"/>
    </row>
    <row r="7" spans="2:6" s="230" customFormat="1" ht="8.25" customHeight="1" thickBot="1" x14ac:dyDescent="0.3">
      <c r="C7" s="269"/>
      <c r="F7" s="231"/>
    </row>
    <row r="8" spans="2:6" ht="16.5" thickTop="1" thickBot="1" x14ac:dyDescent="0.3"/>
    <row r="9" spans="2:6" ht="16.5" thickTop="1" thickBot="1" x14ac:dyDescent="0.3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.75" thickTop="1" x14ac:dyDescent="0.25">
      <c r="C10" s="235"/>
      <c r="D10" s="236"/>
      <c r="E10" s="236"/>
      <c r="F10" s="225" t="str">
        <f>IF(OR(D10&lt;&gt;0,E10&lt;&gt;0),PBal-D10+E10,"")</f>
        <v/>
      </c>
    </row>
    <row r="11" spans="2:6" x14ac:dyDescent="0.25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25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25">
      <c r="C13" s="241"/>
      <c r="D13" s="238"/>
      <c r="E13" s="238"/>
      <c r="F13" s="239" t="str">
        <f t="shared" si="0"/>
        <v/>
      </c>
    </row>
    <row r="14" spans="2:6" s="240" customFormat="1" x14ac:dyDescent="0.25">
      <c r="C14" s="241"/>
      <c r="D14" s="238"/>
      <c r="E14" s="238"/>
      <c r="F14" s="239" t="str">
        <f t="shared" si="0"/>
        <v/>
      </c>
    </row>
    <row r="15" spans="2:6" x14ac:dyDescent="0.25">
      <c r="C15" s="237"/>
      <c r="D15" s="238"/>
      <c r="E15" s="238"/>
      <c r="F15" s="239" t="str">
        <f t="shared" si="0"/>
        <v/>
      </c>
    </row>
    <row r="16" spans="2:6" x14ac:dyDescent="0.25">
      <c r="C16" s="237"/>
      <c r="D16" s="238"/>
      <c r="E16" s="238"/>
      <c r="F16" s="239" t="str">
        <f t="shared" si="0"/>
        <v/>
      </c>
    </row>
    <row r="17" spans="3:6" s="240" customFormat="1" x14ac:dyDescent="0.25">
      <c r="C17" s="241"/>
      <c r="D17" s="238"/>
      <c r="E17" s="238"/>
      <c r="F17" s="239" t="str">
        <f t="shared" si="0"/>
        <v/>
      </c>
    </row>
    <row r="18" spans="3:6" s="240" customFormat="1" x14ac:dyDescent="0.25">
      <c r="C18" s="241"/>
      <c r="D18" s="238"/>
      <c r="E18" s="238"/>
      <c r="F18" s="239" t="str">
        <f t="shared" si="0"/>
        <v/>
      </c>
    </row>
    <row r="19" spans="3:6" s="240" customFormat="1" x14ac:dyDescent="0.25">
      <c r="C19" s="241"/>
      <c r="D19" s="238"/>
      <c r="E19" s="238"/>
      <c r="F19" s="239" t="str">
        <f t="shared" si="0"/>
        <v/>
      </c>
    </row>
    <row r="20" spans="3:6" x14ac:dyDescent="0.25">
      <c r="C20" s="237"/>
      <c r="D20" s="238"/>
      <c r="E20" s="238"/>
      <c r="F20" s="239" t="str">
        <f t="shared" si="0"/>
        <v/>
      </c>
    </row>
    <row r="21" spans="3:6" x14ac:dyDescent="0.25">
      <c r="C21" s="237"/>
      <c r="D21" s="238"/>
      <c r="E21" s="238"/>
      <c r="F21" s="239" t="str">
        <f t="shared" si="0"/>
        <v/>
      </c>
    </row>
    <row r="22" spans="3:6" x14ac:dyDescent="0.25">
      <c r="C22" s="237"/>
      <c r="D22" s="238"/>
      <c r="E22" s="238"/>
      <c r="F22" s="239" t="str">
        <f t="shared" si="0"/>
        <v/>
      </c>
    </row>
    <row r="23" spans="3:6" x14ac:dyDescent="0.25">
      <c r="C23" s="237"/>
      <c r="D23" s="238"/>
      <c r="E23" s="238"/>
      <c r="F23" s="239" t="str">
        <f t="shared" si="0"/>
        <v/>
      </c>
    </row>
    <row r="24" spans="3:6" x14ac:dyDescent="0.25">
      <c r="C24" s="237"/>
      <c r="D24" s="238"/>
      <c r="E24" s="238"/>
      <c r="F24" s="239" t="str">
        <f t="shared" si="0"/>
        <v/>
      </c>
    </row>
    <row r="25" spans="3:6" x14ac:dyDescent="0.25">
      <c r="C25" s="237"/>
      <c r="D25" s="238"/>
      <c r="E25" s="238"/>
      <c r="F25" s="239" t="str">
        <f t="shared" si="0"/>
        <v/>
      </c>
    </row>
    <row r="26" spans="3:6" x14ac:dyDescent="0.25">
      <c r="C26" s="237"/>
      <c r="D26" s="238"/>
      <c r="E26" s="238"/>
      <c r="F26" s="239" t="str">
        <f t="shared" si="0"/>
        <v/>
      </c>
    </row>
    <row r="27" spans="3:6" x14ac:dyDescent="0.25">
      <c r="C27" s="237"/>
      <c r="D27" s="238"/>
      <c r="E27" s="238"/>
      <c r="F27" s="239" t="str">
        <f t="shared" si="0"/>
        <v/>
      </c>
    </row>
    <row r="28" spans="3:6" x14ac:dyDescent="0.25">
      <c r="C28" s="237"/>
      <c r="D28" s="238"/>
      <c r="E28" s="238"/>
      <c r="F28" s="239" t="str">
        <f t="shared" si="0"/>
        <v/>
      </c>
    </row>
    <row r="29" spans="3:6" x14ac:dyDescent="0.25">
      <c r="C29" s="237"/>
      <c r="D29" s="238"/>
      <c r="E29" s="238"/>
      <c r="F29" s="239" t="str">
        <f t="shared" si="0"/>
        <v/>
      </c>
    </row>
    <row r="30" spans="3:6" x14ac:dyDescent="0.25">
      <c r="C30" s="237"/>
      <c r="D30" s="238"/>
      <c r="E30" s="238"/>
      <c r="F30" s="239" t="str">
        <f t="shared" si="0"/>
        <v/>
      </c>
    </row>
    <row r="31" spans="3:6" x14ac:dyDescent="0.25">
      <c r="C31" s="237"/>
      <c r="D31" s="238"/>
      <c r="E31" s="238"/>
      <c r="F31" s="239" t="str">
        <f t="shared" si="0"/>
        <v/>
      </c>
    </row>
    <row r="32" spans="3:6" x14ac:dyDescent="0.25">
      <c r="C32" s="237"/>
      <c r="D32" s="238"/>
      <c r="E32" s="238"/>
      <c r="F32" s="239" t="str">
        <f t="shared" si="0"/>
        <v/>
      </c>
    </row>
    <row r="33" spans="3:6" x14ac:dyDescent="0.25">
      <c r="C33" s="237"/>
      <c r="D33" s="238"/>
      <c r="E33" s="238"/>
      <c r="F33" s="239" t="str">
        <f t="shared" si="0"/>
        <v/>
      </c>
    </row>
    <row r="34" spans="3:6" ht="15.75" thickBot="1" x14ac:dyDescent="0.3">
      <c r="C34" s="242"/>
      <c r="D34" s="243"/>
      <c r="E34" s="243"/>
      <c r="F34" s="227" t="str">
        <f t="shared" si="0"/>
        <v/>
      </c>
    </row>
    <row r="35" spans="3:6" ht="15.75" thickTop="1" x14ac:dyDescent="0.25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Q4" sqref="Q4"/>
    </sheetView>
  </sheetViews>
  <sheetFormatPr defaultRowHeight="12.75" x14ac:dyDescent="0.2"/>
  <cols>
    <col min="1" max="1" width="18.42578125" customWidth="1"/>
    <col min="2" max="2" width="17.85546875" customWidth="1"/>
    <col min="3" max="3" width="15.140625" customWidth="1"/>
  </cols>
  <sheetData>
    <row r="3" spans="1:6" ht="15.75" x14ac:dyDescent="0.25">
      <c r="A3" s="5"/>
      <c r="B3" s="78" t="str">
        <f>Location &amp;" Roadblock, Stock Totals - "&amp; Month &amp; ", " &amp; Year</f>
        <v>PINNAROO Roadblock, Stock Totals - August, 2017</v>
      </c>
      <c r="C3" s="5"/>
      <c r="D3" s="5"/>
      <c r="E3" s="5"/>
      <c r="F3" s="5"/>
    </row>
    <row r="4" spans="1:6" ht="13.5" thickBot="1" x14ac:dyDescent="0.25"/>
    <row r="5" spans="1:6" ht="13.5" thickTop="1" x14ac:dyDescent="0.2">
      <c r="C5" s="79" t="s">
        <v>24</v>
      </c>
      <c r="D5" s="75"/>
    </row>
    <row r="6" spans="1:6" x14ac:dyDescent="0.2">
      <c r="C6" s="80" t="s">
        <v>25</v>
      </c>
      <c r="D6" s="76"/>
    </row>
    <row r="7" spans="1:6" x14ac:dyDescent="0.2">
      <c r="C7" s="80" t="s">
        <v>26</v>
      </c>
      <c r="D7" s="76"/>
    </row>
    <row r="8" spans="1:6" ht="13.5" thickBot="1" x14ac:dyDescent="0.25">
      <c r="C8" s="81" t="s">
        <v>27</v>
      </c>
      <c r="D8" s="77"/>
    </row>
    <row r="9" spans="1:6" ht="17.25" thickTop="1" thickBot="1" x14ac:dyDescent="0.3">
      <c r="C9" s="82" t="s">
        <v>28</v>
      </c>
      <c r="D9" s="83">
        <f>SUM(D5:D8)</f>
        <v>0</v>
      </c>
    </row>
    <row r="10" spans="1:6" ht="13.5" thickTop="1" x14ac:dyDescent="0.2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zoomScale="130" zoomScaleNormal="130" workbookViewId="0">
      <selection activeCell="F47" sqref="F47"/>
    </sheetView>
  </sheetViews>
  <sheetFormatPr defaultRowHeight="12.75" x14ac:dyDescent="0.2"/>
  <cols>
    <col min="1" max="1" width="8.85546875" style="36" customWidth="1"/>
    <col min="2" max="2" width="6.85546875" style="36" customWidth="1"/>
    <col min="3" max="3" width="5.85546875" customWidth="1"/>
    <col min="7" max="7" width="9.5703125" customWidth="1"/>
    <col min="10" max="10" width="10" customWidth="1"/>
    <col min="13" max="13" width="3.7109375" customWidth="1"/>
    <col min="14" max="45" width="8.85546875" style="36" customWidth="1"/>
  </cols>
  <sheetData>
    <row r="1" spans="3:13" x14ac:dyDescent="0.2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75" x14ac:dyDescent="0.2">
      <c r="E5" s="90"/>
      <c r="F5" s="90"/>
      <c r="H5" s="89" t="str">
        <f xml:space="preserve"> Location &amp; " - Quarantine Inspection Station"</f>
        <v>PINNAROO - Quarantine Inspection Station</v>
      </c>
      <c r="I5" s="90"/>
      <c r="J5" s="90"/>
    </row>
    <row r="6" spans="3:13" ht="5.25" customHeight="1" x14ac:dyDescent="0.2">
      <c r="E6" s="88"/>
      <c r="F6" s="88"/>
      <c r="H6" s="89"/>
      <c r="I6" s="88"/>
      <c r="J6" s="88"/>
    </row>
    <row r="7" spans="3:13" ht="15.75" x14ac:dyDescent="0.2">
      <c r="E7" s="88"/>
      <c r="F7" s="88"/>
      <c r="H7" s="89" t="str">
        <f xml:space="preserve"> Month &amp; ", " &amp; Year &amp; " - Monthly Report"</f>
        <v>August, 2017 - Monthly Report</v>
      </c>
      <c r="I7" s="88"/>
      <c r="J7" s="88"/>
    </row>
    <row r="8" spans="3:13" ht="7.5" customHeight="1" thickBot="1" x14ac:dyDescent="0.3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">
      <c r="E9" s="38"/>
    </row>
    <row r="10" spans="3:13" ht="15.75" x14ac:dyDescent="0.25">
      <c r="E10" s="91" t="s">
        <v>42</v>
      </c>
    </row>
    <row r="11" spans="3:13" ht="6" customHeight="1" thickBot="1" x14ac:dyDescent="0.25">
      <c r="E11" s="38"/>
    </row>
    <row r="12" spans="3:13" ht="15.75" thickBot="1" x14ac:dyDescent="0.25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75" thickBot="1" x14ac:dyDescent="0.25">
      <c r="G13" s="84"/>
      <c r="H13" s="311"/>
      <c r="K13" s="84"/>
      <c r="L13" s="311"/>
    </row>
    <row r="14" spans="3:13" ht="15.75" thickBot="1" x14ac:dyDescent="0.25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75" thickBot="1" x14ac:dyDescent="0.25">
      <c r="G15" s="84"/>
      <c r="H15" s="311"/>
      <c r="K15" s="84"/>
      <c r="L15" s="311"/>
    </row>
    <row r="16" spans="3:13" ht="15.75" thickBot="1" x14ac:dyDescent="0.25">
      <c r="G16" s="84" t="s">
        <v>111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75" thickBot="1" x14ac:dyDescent="0.25">
      <c r="G17" s="84"/>
      <c r="H17" s="312"/>
      <c r="K17" s="85"/>
      <c r="L17" s="313"/>
    </row>
    <row r="18" spans="3:13" ht="15.75" thickBot="1" x14ac:dyDescent="0.25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75" thickBot="1" x14ac:dyDescent="0.25">
      <c r="G19" s="84"/>
      <c r="H19" s="312"/>
      <c r="K19" s="85"/>
      <c r="L19" s="313"/>
    </row>
    <row r="20" spans="3:13" ht="15.75" thickBot="1" x14ac:dyDescent="0.25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75" thickBot="1" x14ac:dyDescent="0.25">
      <c r="G21" s="84"/>
      <c r="H21" s="312"/>
      <c r="K21" s="85"/>
      <c r="L21" s="313"/>
    </row>
    <row r="22" spans="3:13" ht="15.75" thickBot="1" x14ac:dyDescent="0.25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25">
      <c r="G23" s="84"/>
      <c r="H23" s="98"/>
      <c r="K23" s="84"/>
      <c r="L23" s="99"/>
    </row>
    <row r="24" spans="3:13" ht="4.5" customHeight="1" x14ac:dyDescent="0.2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">
      <c r="G25" s="84"/>
      <c r="K25" s="84"/>
      <c r="L25" s="84"/>
    </row>
    <row r="26" spans="3:13" ht="15.75" x14ac:dyDescent="0.25">
      <c r="E26" s="91" t="s">
        <v>38</v>
      </c>
      <c r="I26" s="38"/>
    </row>
    <row r="27" spans="3:13" ht="9.75" customHeight="1" thickBot="1" x14ac:dyDescent="0.25">
      <c r="E27" s="38"/>
      <c r="K27" s="98"/>
    </row>
    <row r="28" spans="3:13" ht="15.75" thickBot="1" x14ac:dyDescent="0.25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25">
      <c r="E29" s="84"/>
    </row>
    <row r="30" spans="3:13" ht="15.75" thickBot="1" x14ac:dyDescent="0.25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75" x14ac:dyDescent="0.25">
      <c r="E33" s="100" t="s">
        <v>41</v>
      </c>
    </row>
    <row r="34" spans="3:13" ht="15.75" thickBot="1" x14ac:dyDescent="0.25">
      <c r="E34" s="38"/>
    </row>
    <row r="35" spans="3:13" ht="15.75" thickBot="1" x14ac:dyDescent="0.25">
      <c r="E35" s="84" t="s">
        <v>33</v>
      </c>
      <c r="F35" s="264">
        <f>Sheep</f>
        <v>0</v>
      </c>
      <c r="K35" s="84" t="s">
        <v>29</v>
      </c>
      <c r="L35" s="315">
        <f>PrevSheep + Sheep</f>
        <v>0</v>
      </c>
    </row>
    <row r="36" spans="3:13" ht="8.4499999999999993" customHeight="1" thickBot="1" x14ac:dyDescent="0.25">
      <c r="E36" s="84"/>
      <c r="F36" s="312"/>
      <c r="K36" s="85"/>
      <c r="L36" s="312"/>
    </row>
    <row r="37" spans="3:13" ht="15.75" thickBot="1" x14ac:dyDescent="0.25">
      <c r="E37" s="84" t="s">
        <v>34</v>
      </c>
      <c r="F37" s="264">
        <f>Cattle</f>
        <v>0</v>
      </c>
      <c r="K37" s="84" t="s">
        <v>29</v>
      </c>
      <c r="L37" s="315">
        <f>PrevCattle + Cattle</f>
        <v>0</v>
      </c>
    </row>
    <row r="38" spans="3:13" ht="8.4499999999999993" customHeight="1" thickBot="1" x14ac:dyDescent="0.25">
      <c r="E38" s="84"/>
      <c r="F38" s="312"/>
      <c r="K38" s="85"/>
      <c r="L38" s="312"/>
    </row>
    <row r="39" spans="3:13" ht="15.75" thickBot="1" x14ac:dyDescent="0.25">
      <c r="E39" s="84" t="s">
        <v>35</v>
      </c>
      <c r="F39" s="264">
        <f xml:space="preserve"> Pigs</f>
        <v>0</v>
      </c>
      <c r="K39" s="84" t="s">
        <v>29</v>
      </c>
      <c r="L39" s="315">
        <f>PrevPigs + Pigs</f>
        <v>0</v>
      </c>
    </row>
    <row r="40" spans="3:13" ht="8.4499999999999993" customHeight="1" thickBot="1" x14ac:dyDescent="0.25">
      <c r="E40" s="84"/>
      <c r="F40" s="312"/>
      <c r="K40" s="85"/>
      <c r="L40" s="312"/>
    </row>
    <row r="41" spans="3:13" ht="15.75" thickBot="1" x14ac:dyDescent="0.25">
      <c r="E41" s="84" t="s">
        <v>36</v>
      </c>
      <c r="F41" s="264">
        <f>Other</f>
        <v>0</v>
      </c>
      <c r="K41" s="84" t="s">
        <v>29</v>
      </c>
      <c r="L41" s="315">
        <f>PrevOther + Other</f>
        <v>0</v>
      </c>
    </row>
    <row r="42" spans="3:13" ht="4.5" customHeight="1" x14ac:dyDescent="0.2">
      <c r="E42" s="38"/>
    </row>
    <row r="43" spans="3:13" ht="5.25" customHeight="1" x14ac:dyDescent="0.2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75" x14ac:dyDescent="0.25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25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75" thickBot="1" x14ac:dyDescent="0.25">
      <c r="C47" s="96"/>
      <c r="D47" s="96"/>
      <c r="E47" s="248" t="s">
        <v>89</v>
      </c>
      <c r="F47" s="314">
        <v>0</v>
      </c>
      <c r="G47" s="96"/>
      <c r="H47" s="96"/>
      <c r="I47" s="96"/>
      <c r="J47" s="96"/>
      <c r="K47" s="84" t="s">
        <v>29</v>
      </c>
      <c r="L47" s="315">
        <f>PrevFruitFly + FruitFly</f>
        <v>0</v>
      </c>
      <c r="M47" s="96"/>
    </row>
    <row r="48" spans="3:13" ht="7.5" customHeight="1" x14ac:dyDescent="0.2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">
      <c r="C49" s="297"/>
      <c r="D49" s="297"/>
      <c r="E49" s="298"/>
      <c r="F49" s="297"/>
      <c r="G49" s="297"/>
      <c r="H49" s="297"/>
      <c r="I49" s="297"/>
      <c r="J49" s="297"/>
      <c r="K49" s="298"/>
      <c r="L49" s="297"/>
      <c r="M49" s="297"/>
    </row>
    <row r="50" spans="3:13" ht="14.25" customHeight="1" x14ac:dyDescent="0.25">
      <c r="C50" s="96"/>
      <c r="D50" s="96"/>
      <c r="E50" s="250" t="s">
        <v>105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25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25">
      <c r="D52" s="96"/>
      <c r="E52" s="248" t="s">
        <v>106</v>
      </c>
      <c r="F52" s="249">
        <f>MAX(ShiftStatsTotal)</f>
        <v>0</v>
      </c>
      <c r="G52" s="96"/>
      <c r="H52" s="299" t="s">
        <v>107</v>
      </c>
      <c r="I52" s="249">
        <f>MAX(ShiftStats)</f>
        <v>0</v>
      </c>
      <c r="K52" s="248" t="s">
        <v>108</v>
      </c>
      <c r="L52" s="249">
        <f>COUNTIF(ShiftStats,"&gt;199")</f>
        <v>0</v>
      </c>
      <c r="M52" s="96"/>
    </row>
    <row r="53" spans="3:13" ht="9" customHeight="1" x14ac:dyDescent="0.2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">
      <c r="E55" s="38"/>
    </row>
    <row r="56" spans="3:13" ht="15.75" x14ac:dyDescent="0.25">
      <c r="E56" s="100" t="s">
        <v>43</v>
      </c>
    </row>
    <row r="57" spans="3:13" ht="13.5" thickBot="1" x14ac:dyDescent="0.25">
      <c r="D57" t="s">
        <v>37</v>
      </c>
    </row>
    <row r="58" spans="3:13" x14ac:dyDescent="0.2">
      <c r="D58" s="372"/>
      <c r="E58" s="373"/>
      <c r="F58" s="373"/>
      <c r="G58" s="373"/>
      <c r="H58" s="373"/>
      <c r="I58" s="373"/>
      <c r="J58" s="373"/>
      <c r="K58" s="373"/>
      <c r="L58" s="374"/>
    </row>
    <row r="59" spans="3:13" x14ac:dyDescent="0.2">
      <c r="D59" s="375"/>
      <c r="E59" s="376"/>
      <c r="F59" s="376"/>
      <c r="G59" s="376"/>
      <c r="H59" s="376"/>
      <c r="I59" s="376"/>
      <c r="J59" s="376"/>
      <c r="K59" s="376"/>
      <c r="L59" s="377"/>
    </row>
    <row r="60" spans="3:13" x14ac:dyDescent="0.2">
      <c r="D60" s="375"/>
      <c r="E60" s="376"/>
      <c r="F60" s="376"/>
      <c r="G60" s="376"/>
      <c r="H60" s="376"/>
      <c r="I60" s="376"/>
      <c r="J60" s="376"/>
      <c r="K60" s="376"/>
      <c r="L60" s="377"/>
    </row>
    <row r="61" spans="3:13" x14ac:dyDescent="0.2">
      <c r="D61" s="375"/>
      <c r="E61" s="376"/>
      <c r="F61" s="376"/>
      <c r="G61" s="376"/>
      <c r="H61" s="376"/>
      <c r="I61" s="376"/>
      <c r="J61" s="376"/>
      <c r="K61" s="376"/>
      <c r="L61" s="377"/>
    </row>
    <row r="62" spans="3:13" x14ac:dyDescent="0.2">
      <c r="D62" s="375"/>
      <c r="E62" s="376"/>
      <c r="F62" s="376"/>
      <c r="G62" s="376"/>
      <c r="H62" s="376"/>
      <c r="I62" s="376"/>
      <c r="J62" s="376"/>
      <c r="K62" s="376"/>
      <c r="L62" s="377"/>
    </row>
    <row r="63" spans="3:13" x14ac:dyDescent="0.2">
      <c r="D63" s="375"/>
      <c r="E63" s="376"/>
      <c r="F63" s="376"/>
      <c r="G63" s="376"/>
      <c r="H63" s="376"/>
      <c r="I63" s="376"/>
      <c r="J63" s="376"/>
      <c r="K63" s="376"/>
      <c r="L63" s="377"/>
    </row>
    <row r="64" spans="3:13" x14ac:dyDescent="0.2">
      <c r="D64" s="375"/>
      <c r="E64" s="376"/>
      <c r="F64" s="376"/>
      <c r="G64" s="376"/>
      <c r="H64" s="376"/>
      <c r="I64" s="376"/>
      <c r="J64" s="376"/>
      <c r="K64" s="376"/>
      <c r="L64" s="377"/>
    </row>
    <row r="65" spans="3:13" x14ac:dyDescent="0.2">
      <c r="D65" s="375"/>
      <c r="E65" s="376"/>
      <c r="F65" s="376"/>
      <c r="G65" s="376"/>
      <c r="H65" s="376"/>
      <c r="I65" s="376"/>
      <c r="J65" s="376"/>
      <c r="K65" s="376"/>
      <c r="L65" s="377"/>
    </row>
    <row r="66" spans="3:13" x14ac:dyDescent="0.2">
      <c r="D66" s="375"/>
      <c r="E66" s="376"/>
      <c r="F66" s="376"/>
      <c r="G66" s="376"/>
      <c r="H66" s="376"/>
      <c r="I66" s="376"/>
      <c r="J66" s="376"/>
      <c r="K66" s="376"/>
      <c r="L66" s="377"/>
    </row>
    <row r="67" spans="3:13" x14ac:dyDescent="0.2">
      <c r="D67" s="375"/>
      <c r="E67" s="376"/>
      <c r="F67" s="376"/>
      <c r="G67" s="376"/>
      <c r="H67" s="376"/>
      <c r="I67" s="376"/>
      <c r="J67" s="376"/>
      <c r="K67" s="376"/>
      <c r="L67" s="377"/>
    </row>
    <row r="68" spans="3:13" ht="13.5" thickBot="1" x14ac:dyDescent="0.25">
      <c r="D68" s="378"/>
      <c r="E68" s="379"/>
      <c r="F68" s="379"/>
      <c r="G68" s="379"/>
      <c r="H68" s="379"/>
      <c r="I68" s="379"/>
      <c r="J68" s="379"/>
      <c r="K68" s="379"/>
      <c r="L68" s="380"/>
    </row>
    <row r="69" spans="3:13" ht="13.5" x14ac:dyDescent="0.2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5" x14ac:dyDescent="0.2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5" x14ac:dyDescent="0.2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"/>
    <row r="79" spans="3:13" s="36" customFormat="1" x14ac:dyDescent="0.2"/>
    <row r="80" spans="3:13" s="36" customFormat="1" x14ac:dyDescent="0.2"/>
    <row r="81" s="36" customFormat="1" x14ac:dyDescent="0.2"/>
    <row r="82" s="36" customFormat="1" x14ac:dyDescent="0.2"/>
    <row r="83" s="36" customFormat="1" x14ac:dyDescent="0.2"/>
    <row r="84" s="36" customFormat="1" x14ac:dyDescent="0.2"/>
    <row r="85" s="36" customFormat="1" x14ac:dyDescent="0.2"/>
    <row r="86" s="36" customFormat="1" x14ac:dyDescent="0.2"/>
    <row r="87" s="36" customFormat="1" x14ac:dyDescent="0.2"/>
    <row r="88" s="36" customFormat="1" x14ac:dyDescent="0.2"/>
    <row r="89" s="36" customFormat="1" x14ac:dyDescent="0.2"/>
    <row r="90" s="36" customFormat="1" x14ac:dyDescent="0.2"/>
    <row r="91" s="36" customFormat="1" x14ac:dyDescent="0.2"/>
    <row r="92" s="36" customFormat="1" x14ac:dyDescent="0.2"/>
    <row r="93" s="36" customFormat="1" x14ac:dyDescent="0.2"/>
    <row r="94" s="36" customFormat="1" x14ac:dyDescent="0.2"/>
    <row r="95" s="36" customFormat="1" x14ac:dyDescent="0.2"/>
    <row r="96" s="36" customFormat="1" x14ac:dyDescent="0.2"/>
    <row r="97" s="36" customFormat="1" x14ac:dyDescent="0.2"/>
    <row r="98" s="36" customFormat="1" x14ac:dyDescent="0.2"/>
    <row r="99" s="36" customFormat="1" x14ac:dyDescent="0.2"/>
    <row r="100" s="36" customFormat="1" x14ac:dyDescent="0.2"/>
    <row r="101" s="36" customFormat="1" x14ac:dyDescent="0.2"/>
    <row r="102" s="36" customFormat="1" x14ac:dyDescent="0.2"/>
    <row r="103" s="36" customFormat="1" x14ac:dyDescent="0.2"/>
    <row r="104" s="36" customFormat="1" x14ac:dyDescent="0.2"/>
    <row r="105" s="36" customFormat="1" x14ac:dyDescent="0.2"/>
    <row r="106" s="36" customFormat="1" x14ac:dyDescent="0.2"/>
    <row r="107" s="36" customFormat="1" x14ac:dyDescent="0.2"/>
    <row r="108" s="36" customFormat="1" x14ac:dyDescent="0.2"/>
    <row r="109" s="36" customFormat="1" x14ac:dyDescent="0.2"/>
    <row r="110" s="36" customFormat="1" x14ac:dyDescent="0.2"/>
    <row r="111" s="36" customFormat="1" x14ac:dyDescent="0.2"/>
    <row r="112" s="36" customFormat="1" x14ac:dyDescent="0.2"/>
    <row r="113" s="36" customFormat="1" x14ac:dyDescent="0.2"/>
    <row r="114" s="36" customFormat="1" x14ac:dyDescent="0.2"/>
    <row r="115" s="36" customFormat="1" x14ac:dyDescent="0.2"/>
    <row r="116" s="36" customFormat="1" x14ac:dyDescent="0.2"/>
    <row r="117" s="36" customFormat="1" x14ac:dyDescent="0.2"/>
    <row r="118" s="36" customFormat="1" x14ac:dyDescent="0.2"/>
    <row r="119" s="36" customFormat="1" x14ac:dyDescent="0.2"/>
    <row r="120" s="36" customFormat="1" x14ac:dyDescent="0.2"/>
    <row r="121" s="36" customFormat="1" x14ac:dyDescent="0.2"/>
    <row r="122" s="36" customFormat="1" x14ac:dyDescent="0.2"/>
    <row r="123" s="36" customFormat="1" x14ac:dyDescent="0.2"/>
    <row r="124" s="36" customFormat="1" x14ac:dyDescent="0.2"/>
    <row r="125" s="36" customFormat="1" x14ac:dyDescent="0.2"/>
    <row r="126" s="36" customFormat="1" x14ac:dyDescent="0.2"/>
    <row r="127" s="36" customFormat="1" x14ac:dyDescent="0.2"/>
    <row r="128" s="36" customFormat="1" x14ac:dyDescent="0.2"/>
    <row r="129" s="36" customFormat="1" x14ac:dyDescent="0.2"/>
    <row r="130" s="36" customFormat="1" x14ac:dyDescent="0.2"/>
    <row r="131" s="36" customFormat="1" x14ac:dyDescent="0.2"/>
    <row r="132" s="36" customFormat="1" x14ac:dyDescent="0.2"/>
    <row r="133" s="36" customFormat="1" x14ac:dyDescent="0.2"/>
    <row r="134" s="36" customFormat="1" x14ac:dyDescent="0.2"/>
    <row r="135" s="36" customFormat="1" x14ac:dyDescent="0.2"/>
    <row r="136" s="36" customFormat="1" x14ac:dyDescent="0.2"/>
    <row r="137" s="36" customFormat="1" x14ac:dyDescent="0.2"/>
    <row r="138" s="36" customFormat="1" x14ac:dyDescent="0.2"/>
    <row r="139" s="36" customFormat="1" x14ac:dyDescent="0.2"/>
    <row r="140" s="36" customFormat="1" x14ac:dyDescent="0.2"/>
    <row r="141" s="36" customFormat="1" x14ac:dyDescent="0.2"/>
    <row r="142" s="36" customFormat="1" x14ac:dyDescent="0.2"/>
    <row r="143" s="36" customFormat="1" x14ac:dyDescent="0.2"/>
    <row r="144" s="36" customFormat="1" x14ac:dyDescent="0.2"/>
    <row r="145" s="36" customFormat="1" x14ac:dyDescent="0.2"/>
    <row r="146" s="36" customFormat="1" x14ac:dyDescent="0.2"/>
    <row r="147" s="36" customFormat="1" x14ac:dyDescent="0.2"/>
    <row r="148" s="36" customFormat="1" x14ac:dyDescent="0.2"/>
    <row r="149" s="36" customFormat="1" x14ac:dyDescent="0.2"/>
    <row r="150" s="36" customFormat="1" x14ac:dyDescent="0.2"/>
    <row r="151" s="36" customFormat="1" x14ac:dyDescent="0.2"/>
    <row r="152" s="36" customFormat="1" x14ac:dyDescent="0.2"/>
    <row r="153" s="36" customFormat="1" x14ac:dyDescent="0.2"/>
    <row r="154" s="36" customFormat="1" x14ac:dyDescent="0.2"/>
    <row r="155" s="36" customFormat="1" x14ac:dyDescent="0.2"/>
    <row r="156" s="36" customFormat="1" x14ac:dyDescent="0.2"/>
    <row r="157" s="36" customFormat="1" x14ac:dyDescent="0.2"/>
    <row r="158" s="36" customFormat="1" x14ac:dyDescent="0.2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opLeftCell="A15" zoomScale="189" zoomScaleNormal="100" workbookViewId="0">
      <selection activeCell="Q4" sqref="Q4"/>
    </sheetView>
  </sheetViews>
  <sheetFormatPr defaultRowHeight="12.75" x14ac:dyDescent="0.2"/>
  <cols>
    <col min="1" max="1" width="3.28515625" customWidth="1"/>
    <col min="2" max="2" width="2.85546875" customWidth="1"/>
    <col min="3" max="3" width="3.7109375" customWidth="1"/>
    <col min="4" max="4" width="10.28515625" customWidth="1"/>
    <col min="5" max="11" width="8.7109375" customWidth="1"/>
    <col min="12" max="12" width="3.42578125" customWidth="1"/>
  </cols>
  <sheetData>
    <row r="1" spans="1:86" s="215" customFormat="1" ht="6" customHeight="1" x14ac:dyDescent="0.2"/>
    <row r="2" spans="1:86" s="215" customFormat="1" ht="7.5" customHeight="1" x14ac:dyDescent="0.2"/>
    <row r="3" spans="1:86" s="215" customFormat="1" ht="6" customHeight="1" thickBot="1" x14ac:dyDescent="0.25"/>
    <row r="4" spans="1:86" s="215" customFormat="1" ht="14.25" thickTop="1" thickBot="1" x14ac:dyDescent="0.25">
      <c r="D4" s="222" t="s">
        <v>59</v>
      </c>
      <c r="E4" s="220">
        <v>6</v>
      </c>
      <c r="G4" s="216" t="b">
        <v>1</v>
      </c>
    </row>
    <row r="5" spans="1:86" s="215" customFormat="1" ht="21.6" customHeight="1" thickTop="1" thickBot="1" x14ac:dyDescent="0.25">
      <c r="G5" s="300" t="b">
        <v>1</v>
      </c>
    </row>
    <row r="6" spans="1:86" s="127" customFormat="1" ht="25.5" thickTop="1" thickBot="1" x14ac:dyDescent="0.25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5" thickBot="1" x14ac:dyDescent="0.25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5" thickBot="1" x14ac:dyDescent="0.25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5" thickBot="1" x14ac:dyDescent="0.25">
      <c r="A9" s="215"/>
      <c r="B9" s="215"/>
      <c r="C9" s="215"/>
      <c r="D9" s="131" t="s">
        <v>109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5" thickBot="1" x14ac:dyDescent="0.25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5" thickBot="1" x14ac:dyDescent="0.25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5" thickBot="1" x14ac:dyDescent="0.25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5" thickBot="1" x14ac:dyDescent="0.25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5" thickBot="1" x14ac:dyDescent="0.25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75" thickBot="1" x14ac:dyDescent="0.25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75" thickBot="1" x14ac:dyDescent="0.25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25" thickTop="1" thickBot="1" x14ac:dyDescent="0.25"/>
    <row r="19" spans="1:86" s="217" customFormat="1" ht="14.25" thickTop="1" thickBot="1" x14ac:dyDescent="0.25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5" thickTop="1" x14ac:dyDescent="0.2"/>
    <row r="21" spans="1:86" s="218" customFormat="1" ht="13.5" thickBot="1" x14ac:dyDescent="0.25"/>
    <row r="22" spans="1:86" ht="14.25" thickTop="1" thickBot="1" x14ac:dyDescent="0.25"/>
    <row r="23" spans="1:86" ht="25.5" customHeight="1" thickTop="1" x14ac:dyDescent="0.2">
      <c r="D23" s="385" t="s">
        <v>56</v>
      </c>
      <c r="H23" s="214" t="str">
        <f>TEXT(DATEVALUE(Day &amp; ", " &amp; Month &amp; ", " &amp; Year), "ddd, dd mmm, yyyy")</f>
        <v>Sun, 06 Aug, 2017</v>
      </c>
      <c r="I23" s="214"/>
      <c r="J23" s="214" t="str">
        <f>"Page " &amp; IF(chkNights = TRUE, (Day * 3) -2)</f>
        <v>Page 16</v>
      </c>
    </row>
    <row r="24" spans="1:86" ht="6" customHeight="1" thickBot="1" x14ac:dyDescent="0.25">
      <c r="D24" s="386"/>
    </row>
    <row r="25" spans="1:86" ht="25.5" thickTop="1" thickBot="1" x14ac:dyDescent="0.25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4.25" x14ac:dyDescent="0.2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4.25" x14ac:dyDescent="0.2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4.25" x14ac:dyDescent="0.2">
      <c r="D28" s="131" t="s">
        <v>109</v>
      </c>
      <c r="E28" s="301"/>
      <c r="F28" s="302"/>
      <c r="G28" s="302"/>
      <c r="H28" s="302"/>
      <c r="I28" s="302"/>
      <c r="J28" s="303"/>
      <c r="K28" s="135">
        <f t="shared" si="10"/>
        <v>0</v>
      </c>
    </row>
    <row r="29" spans="1:86" ht="14.25" x14ac:dyDescent="0.2">
      <c r="D29" s="131" t="s">
        <v>50</v>
      </c>
      <c r="E29" s="301"/>
      <c r="F29" s="302"/>
      <c r="G29" s="302"/>
      <c r="H29" s="302"/>
      <c r="I29" s="302"/>
      <c r="J29" s="303"/>
      <c r="K29" s="135">
        <f t="shared" si="10"/>
        <v>0</v>
      </c>
    </row>
    <row r="30" spans="1:86" ht="14.25" x14ac:dyDescent="0.2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4.25" x14ac:dyDescent="0.2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4.25" x14ac:dyDescent="0.2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5" thickBot="1" x14ac:dyDescent="0.25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75" thickBot="1" x14ac:dyDescent="0.25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75" thickBot="1" x14ac:dyDescent="0.25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25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.75" thickTop="1" thickBot="1" x14ac:dyDescent="0.25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25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25"/>
    <row r="41" spans="4:11" ht="25.5" customHeight="1" thickTop="1" x14ac:dyDescent="0.2">
      <c r="D41" s="381" t="s">
        <v>57</v>
      </c>
      <c r="H41" s="212" t="str">
        <f>TEXT(DATEVALUE(Day &amp; ", " &amp; Month &amp; ", " &amp; Year), "ddd, dd mmm, yyyy")</f>
        <v>Sun, 06 Aug, 2017</v>
      </c>
      <c r="I41" s="212"/>
      <c r="J41" s="212" t="str">
        <f>"Page " &amp; IF(chkNights = TRUE, (Day * 3) - 1,IF(chkAfternoons = TRUE,(Day * 2) -1, Day))</f>
        <v>Page 17</v>
      </c>
    </row>
    <row r="42" spans="4:11" ht="6" customHeight="1" thickBot="1" x14ac:dyDescent="0.25">
      <c r="D42" s="382"/>
    </row>
    <row r="43" spans="4:11" ht="25.5" thickTop="1" thickBot="1" x14ac:dyDescent="0.25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4.25" x14ac:dyDescent="0.2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4.25" x14ac:dyDescent="0.2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4.25" x14ac:dyDescent="0.2">
      <c r="D46" s="131" t="s">
        <v>109</v>
      </c>
      <c r="E46" s="304"/>
      <c r="F46" s="305"/>
      <c r="G46" s="305"/>
      <c r="H46" s="305"/>
      <c r="I46" s="305"/>
      <c r="J46" s="306"/>
      <c r="K46" s="135">
        <f t="shared" si="13"/>
        <v>0</v>
      </c>
    </row>
    <row r="47" spans="4:11" ht="14.25" x14ac:dyDescent="0.2">
      <c r="D47" s="131" t="s">
        <v>50</v>
      </c>
      <c r="E47" s="304"/>
      <c r="F47" s="305"/>
      <c r="G47" s="305"/>
      <c r="H47" s="305"/>
      <c r="I47" s="305"/>
      <c r="J47" s="306"/>
      <c r="K47" s="135">
        <f t="shared" si="13"/>
        <v>0</v>
      </c>
    </row>
    <row r="48" spans="4:11" ht="14.25" x14ac:dyDescent="0.2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4.25" x14ac:dyDescent="0.2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4.25" x14ac:dyDescent="0.2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5" thickBot="1" x14ac:dyDescent="0.25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75" thickBot="1" x14ac:dyDescent="0.25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75" thickBot="1" x14ac:dyDescent="0.25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25"/>
    <row r="56" spans="4:11" ht="15.75" customHeight="1" thickTop="1" thickBot="1" x14ac:dyDescent="0.25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25"/>
    <row r="58" spans="4:11" ht="19.5" customHeight="1" thickBot="1" x14ac:dyDescent="0.25"/>
    <row r="59" spans="4:11" ht="25.5" customHeight="1" thickTop="1" x14ac:dyDescent="0.2">
      <c r="D59" s="383" t="s">
        <v>58</v>
      </c>
      <c r="H59" s="213" t="str">
        <f>TEXT(DATEVALUE(Day &amp; ", " &amp; Month &amp; ", " &amp; Year), "ddd, dd mmm yyyy")</f>
        <v>Sun, 06 Aug 2017</v>
      </c>
      <c r="I59" s="213"/>
      <c r="J59" s="213" t="str">
        <f>"Page " &amp; IF(chkNights = TRUE, (Day * 3), Day * 2)</f>
        <v>Page 18</v>
      </c>
    </row>
    <row r="60" spans="4:11" ht="9" customHeight="1" thickBot="1" x14ac:dyDescent="0.25">
      <c r="D60" s="384"/>
    </row>
    <row r="61" spans="4:11" ht="25.5" thickTop="1" thickBot="1" x14ac:dyDescent="0.25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4.25" x14ac:dyDescent="0.2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4.25" x14ac:dyDescent="0.2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4.25" x14ac:dyDescent="0.2">
      <c r="D64" s="131" t="s">
        <v>109</v>
      </c>
      <c r="E64" s="307"/>
      <c r="F64" s="308"/>
      <c r="G64" s="308"/>
      <c r="H64" s="308"/>
      <c r="I64" s="308"/>
      <c r="J64" s="309"/>
      <c r="K64" s="135">
        <f t="shared" si="16"/>
        <v>0</v>
      </c>
    </row>
    <row r="65" spans="4:15" ht="14.25" x14ac:dyDescent="0.2">
      <c r="D65" s="131" t="s">
        <v>50</v>
      </c>
      <c r="E65" s="307"/>
      <c r="F65" s="308"/>
      <c r="G65" s="308"/>
      <c r="H65" s="308"/>
      <c r="I65" s="308"/>
      <c r="J65" s="309"/>
      <c r="K65" s="135">
        <f t="shared" si="16"/>
        <v>0</v>
      </c>
    </row>
    <row r="66" spans="4:15" ht="14.25" x14ac:dyDescent="0.2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4.25" x14ac:dyDescent="0.2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4.25" x14ac:dyDescent="0.2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5" thickBot="1" x14ac:dyDescent="0.25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75" thickBot="1" x14ac:dyDescent="0.25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75" thickBot="1" x14ac:dyDescent="0.3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25"/>
    <row r="74" spans="4:15" ht="16.5" customHeight="1" thickTop="1" thickBot="1" x14ac:dyDescent="0.25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25" thickTop="1" thickBot="1" x14ac:dyDescent="0.25"/>
    <row r="84" spans="6:6" x14ac:dyDescent="0.2">
      <c r="F84" s="199">
        <v>31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95250</xdr:colOff>
                <xdr:row>4</xdr:row>
                <xdr:rowOff>19050</xdr:rowOff>
              </from>
              <to>
                <xdr:col>7</xdr:col>
                <xdr:colOff>514350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95250</xdr:colOff>
                <xdr:row>3</xdr:row>
                <xdr:rowOff>19050</xdr:rowOff>
              </from>
              <to>
                <xdr:col>7</xdr:col>
                <xdr:colOff>514350</xdr:colOff>
                <xdr:row>4</xdr:row>
                <xdr:rowOff>47625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161925</xdr:colOff>
                <xdr:row>58</xdr:row>
                <xdr:rowOff>19050</xdr:rowOff>
              </from>
              <to>
                <xdr:col>6</xdr:col>
                <xdr:colOff>390525</xdr:colOff>
                <xdr:row>58</xdr:row>
                <xdr:rowOff>304800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142875</xdr:colOff>
                <xdr:row>40</xdr:row>
                <xdr:rowOff>19050</xdr:rowOff>
              </from>
              <to>
                <xdr:col>6</xdr:col>
                <xdr:colOff>342900</xdr:colOff>
                <xdr:row>40</xdr:row>
                <xdr:rowOff>304800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123825</xdr:colOff>
                <xdr:row>22</xdr:row>
                <xdr:rowOff>9525</xdr:rowOff>
              </from>
              <to>
                <xdr:col>6</xdr:col>
                <xdr:colOff>381000</xdr:colOff>
                <xdr:row>22</xdr:row>
                <xdr:rowOff>295275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561975</xdr:colOff>
                <xdr:row>3</xdr:row>
                <xdr:rowOff>0</xdr:rowOff>
              </from>
              <to>
                <xdr:col>9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95250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40625" defaultRowHeight="12.75" x14ac:dyDescent="0.2"/>
  <cols>
    <col min="1" max="2" width="9.140625" style="201"/>
    <col min="3" max="3" width="8.5703125" style="201" customWidth="1"/>
    <col min="4" max="4" width="4.5703125" style="201" customWidth="1"/>
    <col min="5" max="5" width="14" style="201" customWidth="1"/>
    <col min="6" max="7" width="9.140625" style="201"/>
    <col min="8" max="8" width="12.42578125" style="201" customWidth="1"/>
    <col min="9" max="9" width="9.140625" style="201"/>
    <col min="10" max="10" width="12.140625" style="201" customWidth="1"/>
    <col min="11" max="11" width="9.140625" style="201"/>
    <col min="12" max="12" width="10.7109375" style="201" customWidth="1"/>
    <col min="13" max="13" width="9.140625" style="201"/>
    <col min="14" max="14" width="10.42578125" style="201" customWidth="1"/>
    <col min="15" max="15" width="9.140625" style="201"/>
    <col min="16" max="16" width="15.140625" style="201" customWidth="1"/>
    <col min="17" max="17" width="19.5703125" style="201" customWidth="1"/>
    <col min="18" max="16384" width="9.140625" style="201"/>
  </cols>
  <sheetData>
    <row r="3" spans="4:17" ht="13.5" thickBot="1" x14ac:dyDescent="0.25"/>
    <row r="4" spans="4:17" ht="14.25" thickTop="1" thickBot="1" x14ac:dyDescent="0.25">
      <c r="D4" s="387" t="s">
        <v>65</v>
      </c>
      <c r="E4" s="388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114</v>
      </c>
    </row>
    <row r="5" spans="4:17" ht="13.5" thickTop="1" x14ac:dyDescent="0.2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2017</v>
      </c>
    </row>
    <row r="6" spans="4:17" ht="13.5" thickBot="1" x14ac:dyDescent="0.25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115</v>
      </c>
    </row>
    <row r="7" spans="4:17" ht="13.5" thickTop="1" x14ac:dyDescent="0.2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5" thickBot="1" x14ac:dyDescent="0.25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5" thickTop="1" x14ac:dyDescent="0.2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">
      <c r="H31" s="209">
        <v>27</v>
      </c>
      <c r="J31" s="209">
        <v>27</v>
      </c>
      <c r="L31" s="209">
        <v>27</v>
      </c>
      <c r="N31" s="209">
        <v>27</v>
      </c>
    </row>
    <row r="32" spans="8:14" ht="13.5" thickBot="1" x14ac:dyDescent="0.25">
      <c r="H32" s="209">
        <v>28</v>
      </c>
      <c r="J32" s="209">
        <v>28</v>
      </c>
      <c r="L32" s="210">
        <v>28</v>
      </c>
      <c r="N32" s="209">
        <v>28</v>
      </c>
    </row>
    <row r="33" spans="8:14" ht="14.25" thickTop="1" thickBot="1" x14ac:dyDescent="0.25">
      <c r="H33" s="209">
        <v>29</v>
      </c>
      <c r="J33" s="209">
        <v>29</v>
      </c>
      <c r="N33" s="210">
        <v>29</v>
      </c>
    </row>
    <row r="34" spans="8:14" ht="14.25" thickTop="1" thickBot="1" x14ac:dyDescent="0.25">
      <c r="H34" s="210">
        <v>30</v>
      </c>
      <c r="J34" s="209">
        <v>30</v>
      </c>
    </row>
    <row r="35" spans="8:14" ht="14.25" thickTop="1" thickBot="1" x14ac:dyDescent="0.25">
      <c r="J35" s="210">
        <v>31</v>
      </c>
    </row>
    <row r="36" spans="8:14" ht="13.5" thickTop="1" x14ac:dyDescent="0.2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86</vt:i4>
      </vt:variant>
    </vt:vector>
  </HeadingPairs>
  <TitlesOfParts>
    <vt:vector size="100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2017-10-22T20:57:58Z</dcterms:modified>
</cp:coreProperties>
</file>