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12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6" i="16"/>
  <c r="D5" i="16"/>
  <c r="I52" i="11" l="1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<sst xmlns="http://schemas.openxmlformats.org/spreadsheetml/2006/main" count="279" uniqueCount="126">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</sst>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697496"/>
        <c:axId val="324219440"/>
      </c:barChart>
      <c:catAx>
        <c:axId val="32369749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219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4219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6974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886472"/>
        <c:axId val="251023000"/>
      </c:barChart>
      <c:catAx>
        <c:axId val="25288647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23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10230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864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28096"/>
        <c:axId val="251023392"/>
      </c:barChart>
      <c:catAx>
        <c:axId val="25102809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2339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5102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280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27704"/>
        <c:axId val="324311712"/>
      </c:barChart>
      <c:catAx>
        <c:axId val="2510277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11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4311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277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15632"/>
        <c:axId val="324310536"/>
      </c:barChart>
      <c:catAx>
        <c:axId val="324315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05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2431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14456"/>
        <c:axId val="324310928"/>
      </c:barChart>
      <c:catAx>
        <c:axId val="324314456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10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431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144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312496"/>
        <c:axId val="324317200"/>
      </c:barChart>
      <c:catAx>
        <c:axId val="32431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7200"/>
        <c:crosses val="autoZero"/>
        <c:auto val="1"/>
        <c:lblAlgn val="ctr"/>
        <c:lblOffset val="100"/>
        <c:noMultiLvlLbl val="0"/>
      </c:catAx>
      <c:valAx>
        <c:axId val="32431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312104"/>
        <c:axId val="324314064"/>
      </c:scatterChart>
      <c:valAx>
        <c:axId val="324312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4064"/>
        <c:crosses val="autoZero"/>
        <c:crossBetween val="midCat"/>
      </c:valAx>
      <c:valAx>
        <c:axId val="32431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311320"/>
        <c:axId val="324313280"/>
      </c:barChart>
      <c:catAx>
        <c:axId val="3243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3280"/>
        <c:crosses val="autoZero"/>
        <c:auto val="1"/>
        <c:lblAlgn val="ctr"/>
        <c:lblOffset val="100"/>
        <c:noMultiLvlLbl val="0"/>
      </c:catAx>
      <c:valAx>
        <c:axId val="32431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13672"/>
        <c:axId val="324314848"/>
      </c:barChart>
      <c:catAx>
        <c:axId val="324313672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1484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24314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136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413640"/>
        <c:axId val="324416776"/>
      </c:barChart>
      <c:catAx>
        <c:axId val="324413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416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416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413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40</xdr:row>
          <xdr:rowOff>112955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23360</xdr:rowOff>
        </xdr:from>
        <xdr:to>
          <xdr:col>6</xdr:col>
          <xdr:colOff>365760</xdr:colOff>
          <xdr:row>58</xdr:row>
          <xdr:rowOff>311791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2019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2019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 t="str">
        <f t="shared" ref="D5:D35" si="0">TEXT(DATE(Year,MONTH(1&amp;Month),DateShiftStats),"dddd")</f>
        <v>Monday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1">SUMIF($D$5:$D$35,$J5,E$5:E$35)</f>
        <v>0</v>
      </c>
      <c r="L5" s="328">
        <f t="shared" si="1"/>
        <v>0</v>
      </c>
      <c r="M5" s="329">
        <f t="shared" si="1"/>
        <v>0</v>
      </c>
      <c r="N5" s="330">
        <f>SUM(K5:M5)</f>
        <v>0</v>
      </c>
    </row>
    <row r="6" spans="3:14" ht="15" x14ac:dyDescent="0.25">
      <c r="C6" s="355">
        <v>2</v>
      </c>
      <c r="D6" s="357" t="str">
        <f t="shared" si="0"/>
        <v>Tuesday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31">
        <f t="shared" si="1"/>
        <v>0</v>
      </c>
      <c r="L6" s="331">
        <f t="shared" si="1"/>
        <v>0</v>
      </c>
      <c r="M6" s="332">
        <f t="shared" si="1"/>
        <v>0</v>
      </c>
      <c r="N6" s="333">
        <f t="shared" ref="N6:N11" si="3">SUM(K6:M6)</f>
        <v>0</v>
      </c>
    </row>
    <row r="7" spans="3:14" ht="15" x14ac:dyDescent="0.25">
      <c r="C7" s="355">
        <v>3</v>
      </c>
      <c r="D7" s="357" t="str">
        <f t="shared" si="0"/>
        <v>Wednesday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31">
        <f t="shared" si="1"/>
        <v>0</v>
      </c>
      <c r="L7" s="331">
        <f t="shared" si="1"/>
        <v>0</v>
      </c>
      <c r="M7" s="332">
        <f t="shared" si="1"/>
        <v>0</v>
      </c>
      <c r="N7" s="333">
        <f t="shared" si="3"/>
        <v>0</v>
      </c>
    </row>
    <row r="8" spans="3:14" ht="15" x14ac:dyDescent="0.25">
      <c r="C8" s="355">
        <v>4</v>
      </c>
      <c r="D8" s="357" t="str">
        <f t="shared" si="0"/>
        <v>Thursday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31">
        <f t="shared" si="1"/>
        <v>0</v>
      </c>
      <c r="L8" s="331">
        <f t="shared" si="1"/>
        <v>0</v>
      </c>
      <c r="M8" s="332">
        <f t="shared" si="1"/>
        <v>0</v>
      </c>
      <c r="N8" s="333">
        <f t="shared" si="3"/>
        <v>0</v>
      </c>
    </row>
    <row r="9" spans="3:14" ht="15" x14ac:dyDescent="0.25">
      <c r="C9" s="355">
        <v>5</v>
      </c>
      <c r="D9" s="357" t="str">
        <f t="shared" si="0"/>
        <v>Friday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31">
        <f t="shared" si="1"/>
        <v>0</v>
      </c>
      <c r="L9" s="331">
        <f t="shared" si="1"/>
        <v>0</v>
      </c>
      <c r="M9" s="332">
        <f t="shared" si="1"/>
        <v>0</v>
      </c>
      <c r="N9" s="333">
        <f t="shared" si="3"/>
        <v>0</v>
      </c>
    </row>
    <row r="10" spans="3:14" ht="15" x14ac:dyDescent="0.25">
      <c r="C10" s="355">
        <v>6</v>
      </c>
      <c r="D10" s="357" t="str">
        <f t="shared" si="0"/>
        <v>Saturday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31">
        <f t="shared" si="1"/>
        <v>0</v>
      </c>
      <c r="L10" s="331">
        <f t="shared" si="1"/>
        <v>0</v>
      </c>
      <c r="M10" s="332">
        <f t="shared" si="1"/>
        <v>0</v>
      </c>
      <c r="N10" s="333">
        <f t="shared" si="3"/>
        <v>0</v>
      </c>
    </row>
    <row r="11" spans="3:14" ht="15.6" thickBot="1" x14ac:dyDescent="0.3">
      <c r="C11" s="355">
        <v>7</v>
      </c>
      <c r="D11" s="357" t="str">
        <f t="shared" si="0"/>
        <v>Sunday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34">
        <f t="shared" si="1"/>
        <v>0</v>
      </c>
      <c r="L11" s="334">
        <f t="shared" si="1"/>
        <v>0</v>
      </c>
      <c r="M11" s="335">
        <f t="shared" si="1"/>
        <v>0</v>
      </c>
      <c r="N11" s="336">
        <f t="shared" si="3"/>
        <v>0</v>
      </c>
    </row>
    <row r="12" spans="3:14" ht="15.6" thickBot="1" x14ac:dyDescent="0.3">
      <c r="C12" s="355">
        <v>8</v>
      </c>
      <c r="D12" s="357" t="str">
        <f t="shared" si="0"/>
        <v>Monday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7">
        <f>SUM(K5:K11)</f>
        <v>0</v>
      </c>
      <c r="L12" s="338">
        <f t="shared" ref="L12:M12" si="4">SUM(L5:L11)</f>
        <v>0</v>
      </c>
      <c r="M12" s="339">
        <f t="shared" si="4"/>
        <v>0</v>
      </c>
      <c r="N12" s="340">
        <f>SUM(K12:M12)</f>
        <v>0</v>
      </c>
    </row>
    <row r="13" spans="3:14" ht="15" x14ac:dyDescent="0.25">
      <c r="C13" s="355">
        <v>9</v>
      </c>
      <c r="D13" s="357" t="str">
        <f t="shared" si="0"/>
        <v>Tuesday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3:14" ht="15" x14ac:dyDescent="0.25">
      <c r="C14" s="355">
        <v>10</v>
      </c>
      <c r="D14" s="357" t="str">
        <f t="shared" si="0"/>
        <v>Wednesday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3:14" ht="15" x14ac:dyDescent="0.25">
      <c r="C15" s="355">
        <v>11</v>
      </c>
      <c r="D15" s="357" t="str">
        <f t="shared" si="0"/>
        <v>Thursday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3:14" ht="15" x14ac:dyDescent="0.25">
      <c r="C16" s="355">
        <v>12</v>
      </c>
      <c r="D16" s="357" t="str">
        <f t="shared" si="0"/>
        <v>Friday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3:14" ht="15" x14ac:dyDescent="0.25">
      <c r="C17" s="355">
        <v>13</v>
      </c>
      <c r="D17" s="357" t="str">
        <f t="shared" si="0"/>
        <v>Saturday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3:14" ht="15" x14ac:dyDescent="0.25">
      <c r="C18" s="355">
        <v>14</v>
      </c>
      <c r="D18" s="357" t="str">
        <f t="shared" si="0"/>
        <v>Sunday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3:14" ht="15" x14ac:dyDescent="0.25">
      <c r="C19" s="355">
        <v>15</v>
      </c>
      <c r="D19" s="357" t="str">
        <f t="shared" si="0"/>
        <v>Monday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3:14" ht="15" x14ac:dyDescent="0.25">
      <c r="C20" s="355">
        <v>16</v>
      </c>
      <c r="D20" s="357" t="str">
        <f t="shared" si="0"/>
        <v>Tuesday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3:14" ht="15" x14ac:dyDescent="0.25">
      <c r="C21" s="355">
        <v>17</v>
      </c>
      <c r="D21" s="357" t="str">
        <f t="shared" si="0"/>
        <v>Wednesday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3:14" ht="15" x14ac:dyDescent="0.25">
      <c r="C22" s="355">
        <v>18</v>
      </c>
      <c r="D22" s="357" t="str">
        <f t="shared" si="0"/>
        <v>Thursday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3:14" ht="15" x14ac:dyDescent="0.25">
      <c r="C23" s="355">
        <v>19</v>
      </c>
      <c r="D23" s="357" t="str">
        <f t="shared" si="0"/>
        <v>Friday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3:14" ht="15" x14ac:dyDescent="0.25">
      <c r="C24" s="355">
        <v>20</v>
      </c>
      <c r="D24" s="357" t="str">
        <f t="shared" si="0"/>
        <v>Saturday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3:14" ht="15" x14ac:dyDescent="0.25">
      <c r="C25" s="355">
        <v>21</v>
      </c>
      <c r="D25" s="357" t="str">
        <f t="shared" si="0"/>
        <v>Sunday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3:14" ht="15.6" thickBot="1" x14ac:dyDescent="0.3">
      <c r="C26" s="355">
        <v>22</v>
      </c>
      <c r="D26" s="357" t="str">
        <f t="shared" si="0"/>
        <v>Monday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3:14" ht="16.5" customHeight="1" x14ac:dyDescent="0.25">
      <c r="C27" s="355">
        <v>23</v>
      </c>
      <c r="D27" s="357" t="str">
        <f t="shared" si="0"/>
        <v>Tuesday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 t="str">
        <f t="shared" si="0"/>
        <v>Wednesday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 t="str">
        <f t="shared" si="0"/>
        <v>Thursday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 t="str">
        <f t="shared" si="0"/>
        <v>Friday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43" t="s">
        <v>112</v>
      </c>
      <c r="K30" s="346">
        <f t="shared" ref="K30:K36" si="5">AVERAGEIF(D$5:D$35,J30,E$5:E$35)</f>
        <v>0</v>
      </c>
      <c r="L30" s="341">
        <f t="shared" ref="L30:L36" si="6">AVERAGEIF(D$5:D$35,J30,F$5:F$35)</f>
        <v>0</v>
      </c>
      <c r="M30" s="341">
        <f t="shared" ref="M30:M36" si="7">AVERAGEIF(D$5:D$35,J30,G$5:G$35)</f>
        <v>0</v>
      </c>
      <c r="N30" s="351">
        <f>AVERAGE(K30:M30)</f>
        <v>0</v>
      </c>
    </row>
    <row r="31" spans="3:14" ht="15.6" x14ac:dyDescent="0.3">
      <c r="C31" s="355">
        <v>27</v>
      </c>
      <c r="D31" s="357" t="str">
        <f t="shared" si="0"/>
        <v>Saturday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44" t="s">
        <v>113</v>
      </c>
      <c r="K31" s="347">
        <f t="shared" si="5"/>
        <v>0</v>
      </c>
      <c r="L31" s="342">
        <f t="shared" si="6"/>
        <v>0</v>
      </c>
      <c r="M31" s="342">
        <f t="shared" si="7"/>
        <v>0</v>
      </c>
      <c r="N31" s="352">
        <f>AVERAGE(K31:M31)</f>
        <v>0</v>
      </c>
    </row>
    <row r="32" spans="3:14" ht="15.6" x14ac:dyDescent="0.3">
      <c r="C32" s="355">
        <v>28</v>
      </c>
      <c r="D32" s="357" t="str">
        <f t="shared" si="0"/>
        <v>Sunday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44" t="s">
        <v>114</v>
      </c>
      <c r="K32" s="347">
        <f t="shared" si="5"/>
        <v>0</v>
      </c>
      <c r="L32" s="342">
        <f t="shared" si="6"/>
        <v>0</v>
      </c>
      <c r="M32" s="342">
        <f t="shared" si="7"/>
        <v>0</v>
      </c>
      <c r="N32" s="352">
        <f t="shared" ref="N32:N36" si="8">AVERAGE(K32:M32)</f>
        <v>0</v>
      </c>
    </row>
    <row r="33" spans="3:14" ht="15.6" x14ac:dyDescent="0.3">
      <c r="C33" s="355">
        <v>29</v>
      </c>
      <c r="D33" s="357" t="str">
        <f t="shared" si="0"/>
        <v>Monday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44" t="s">
        <v>115</v>
      </c>
      <c r="K33" s="347">
        <f t="shared" si="5"/>
        <v>0</v>
      </c>
      <c r="L33" s="342">
        <f t="shared" si="6"/>
        <v>0</v>
      </c>
      <c r="M33" s="342">
        <f t="shared" si="7"/>
        <v>0</v>
      </c>
      <c r="N33" s="352">
        <f t="shared" si="8"/>
        <v>0</v>
      </c>
    </row>
    <row r="34" spans="3:14" ht="15.6" x14ac:dyDescent="0.3">
      <c r="C34" s="355">
        <v>30</v>
      </c>
      <c r="D34" s="357" t="str">
        <f t="shared" si="0"/>
        <v>Tuesday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44" t="s">
        <v>116</v>
      </c>
      <c r="K34" s="347">
        <f t="shared" si="5"/>
        <v>0</v>
      </c>
      <c r="L34" s="342">
        <f t="shared" si="6"/>
        <v>0</v>
      </c>
      <c r="M34" s="342">
        <f t="shared" si="7"/>
        <v>0</v>
      </c>
      <c r="N34" s="352">
        <f t="shared" si="8"/>
        <v>0</v>
      </c>
    </row>
    <row r="35" spans="3:14" ht="16.2" thickBot="1" x14ac:dyDescent="0.35">
      <c r="C35" s="356">
        <v>31</v>
      </c>
      <c r="D35" s="357" t="str">
        <f t="shared" si="0"/>
        <v>Wednesday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44" t="s">
        <v>117</v>
      </c>
      <c r="K35" s="347">
        <f t="shared" si="5"/>
        <v>0</v>
      </c>
      <c r="L35" s="342">
        <f t="shared" si="6"/>
        <v>0</v>
      </c>
      <c r="M35" s="342">
        <f t="shared" si="7"/>
        <v>0</v>
      </c>
      <c r="N35" s="352">
        <f t="shared" si="8"/>
        <v>0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9">SUM(F5:F35)</f>
        <v>0</v>
      </c>
      <c r="G36" s="288">
        <f t="shared" si="9"/>
        <v>0</v>
      </c>
      <c r="H36" s="289">
        <f t="shared" si="9"/>
        <v>0</v>
      </c>
      <c r="J36" s="345" t="s">
        <v>118</v>
      </c>
      <c r="K36" s="348">
        <f t="shared" si="5"/>
        <v>0</v>
      </c>
      <c r="L36" s="349">
        <f t="shared" si="6"/>
        <v>0</v>
      </c>
      <c r="M36" s="349">
        <f t="shared" si="7"/>
        <v>0</v>
      </c>
      <c r="N36" s="352">
        <f t="shared" si="8"/>
        <v>0</v>
      </c>
    </row>
    <row r="37" spans="3:14" ht="16.5" customHeight="1" thickBot="1" x14ac:dyDescent="0.35">
      <c r="D37" s="270"/>
      <c r="J37" s="350" t="s">
        <v>122</v>
      </c>
      <c r="K37" s="354">
        <f>AVERAGE(K30:K36)</f>
        <v>0</v>
      </c>
      <c r="L37" s="354">
        <f t="shared" ref="L37:M37" si="10">AVERAGE(L30:L36)</f>
        <v>0</v>
      </c>
      <c r="M37" s="354">
        <f t="shared" si="10"/>
        <v>0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2019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abSelected="1" topLeftCell="A41" zoomScale="189" zoomScaleNormal="100" workbookViewId="0">
      <selection activeCell="E44" sqref="E4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15" t="s">
        <v>56</v>
      </c>
      <c r="H23" s="214" t="str">
        <f>TEXT(DATEVALUE(Day &amp; ", " &amp; Month &amp; ", " &amp; Year), "ddd, dd mmm, yyyy")</f>
        <v>Mon, 01 Jul, 2019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16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Mon, 01 Jul, 2019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13" t="s">
        <v>58</v>
      </c>
      <c r="H59" s="213" t="str">
        <f>TEXT(DATEVALUE(Day &amp; ", " &amp; Month &amp; ", " &amp; Year), "ddd, dd mmm yyyy")</f>
        <v>Mon, 01 Jul 2019</v>
      </c>
      <c r="I59" s="213"/>
      <c r="J59" s="213" t="str">
        <f>"Page " &amp; IF(chkNights = TRUE, (Day * 3), Day * 2)</f>
        <v>Page 2</v>
      </c>
    </row>
    <row r="60" spans="4:11" ht="9" customHeight="1" thickBot="1" x14ac:dyDescent="0.3">
      <c r="D60" s="414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2021-10-15T02:35:37Z</dcterms:modified>
</cp:coreProperties>
</file>