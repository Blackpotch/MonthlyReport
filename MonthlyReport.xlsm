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activeTab="2"/>
  </bookViews>
  <sheets>
    <sheet name="Fruit Confiscated" sheetId="1" r:id="rId1"/>
    <sheet name="TrafficData" sheetId="18" r:id="rId2"/>
    <sheet name="FruitData" sheetId="19" r:id="rId3"/>
    <sheet name="Commercial Vehicles" sheetId="2" r:id="rId4"/>
    <sheet name="Cars" sheetId="3" r:id="rId5"/>
    <sheet name="Vehicle Counter" sheetId="4" state="hidden" r:id="rId6"/>
    <sheet name="Caravans" sheetId="17" r:id="rId7"/>
    <sheet name="Midnight" sheetId="5" r:id="rId8"/>
    <sheet name="Shift Stats" sheetId="16" r:id="rId9"/>
    <sheet name="Vehicles Carrying Fruit" sheetId="6" r:id="rId10"/>
    <sheet name="Previous Data" sheetId="12" r:id="rId11"/>
    <sheet name="Foodland" sheetId="15" r:id="rId12"/>
    <sheet name="Stock Totals" sheetId="10" r:id="rId13"/>
    <sheet name="Summary" sheetId="11" r:id="rId14"/>
    <sheet name="Data Input" sheetId="13" state="hidden" r:id="rId15"/>
    <sheet name="Data Lists" sheetId="14" state="hidden" r:id="rId16"/>
  </sheets>
  <definedNames>
    <definedName name="AfternoonShift">'Data Input'!$E$62:$J$69,'Data Input'!$E$72:$J$72,'Data Input'!$F$74,'Data Input'!$J$74</definedName>
    <definedName name="AllShiftStats">'Shift Stats'!$E$5:$G$35</definedName>
    <definedName name="Cars" localSheetId="6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6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DataDatum">FruitData!$B$4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6">#REF!</definedName>
    <definedName name="Locations" localSheetId="2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6">Caravans!$B$2:$I$54</definedName>
    <definedName name="_xlnm.Print_Area" localSheetId="4">Cars!$B$2:$I$54</definedName>
    <definedName name="_xlnm.Print_Area" localSheetId="3">'Commercial Vehicles'!$B$2:$I$52</definedName>
    <definedName name="_xlnm.Print_Area" localSheetId="0">'Fruit Confiscated'!$B$2:$L$51</definedName>
    <definedName name="_xlnm.Print_Area" localSheetId="7">Midnight!$B$2:$N$60</definedName>
    <definedName name="_xlnm.Print_Area" localSheetId="8">'Shift Stats'!$D$3:$H$36</definedName>
    <definedName name="_xlnm.Print_Area" localSheetId="13">Summary!$C$5:$M$69</definedName>
    <definedName name="_xlnm.Print_Area" localSheetId="9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6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TrafficDataDatum">TrafficData!$B$4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52" i="11" l="1"/>
  <c r="I52" i="11"/>
  <c r="D5" i="16" l="1"/>
  <c r="B5" i="16" s="1"/>
  <c r="D35" i="16" l="1"/>
  <c r="B35" i="16" s="1"/>
  <c r="D7" i="16"/>
  <c r="B7" i="16" s="1"/>
  <c r="D8" i="16"/>
  <c r="B8" i="16" s="1"/>
  <c r="D9" i="16"/>
  <c r="B9" i="16" s="1"/>
  <c r="D10" i="16"/>
  <c r="B10" i="16" s="1"/>
  <c r="D11" i="16"/>
  <c r="B11" i="16" s="1"/>
  <c r="D12" i="16"/>
  <c r="B12" i="16" s="1"/>
  <c r="D13" i="16"/>
  <c r="B13" i="16" s="1"/>
  <c r="D14" i="16"/>
  <c r="B14" i="16" s="1"/>
  <c r="D15" i="16"/>
  <c r="B15" i="16" s="1"/>
  <c r="D16" i="16"/>
  <c r="B16" i="16" s="1"/>
  <c r="D17" i="16"/>
  <c r="B17" i="16" s="1"/>
  <c r="D18" i="16"/>
  <c r="B18" i="16" s="1"/>
  <c r="D19" i="16"/>
  <c r="B19" i="16" s="1"/>
  <c r="D20" i="16"/>
  <c r="B20" i="16" s="1"/>
  <c r="D21" i="16"/>
  <c r="B21" i="16" s="1"/>
  <c r="D22" i="16"/>
  <c r="B22" i="16" s="1"/>
  <c r="D23" i="16"/>
  <c r="B23" i="16" s="1"/>
  <c r="D24" i="16"/>
  <c r="B24" i="16" s="1"/>
  <c r="D25" i="16"/>
  <c r="B25" i="16" s="1"/>
  <c r="D26" i="16"/>
  <c r="B26" i="16" s="1"/>
  <c r="D27" i="16"/>
  <c r="B27" i="16" s="1"/>
  <c r="D28" i="16"/>
  <c r="B28" i="16" s="1"/>
  <c r="D29" i="16"/>
  <c r="B29" i="16" s="1"/>
  <c r="D30" i="16"/>
  <c r="B30" i="16" s="1"/>
  <c r="D31" i="16"/>
  <c r="B31" i="16" s="1"/>
  <c r="D32" i="16"/>
  <c r="B32" i="16" s="1"/>
  <c r="D33" i="16"/>
  <c r="B33" i="16" s="1"/>
  <c r="D34" i="16"/>
  <c r="B34" i="16" s="1"/>
  <c r="D6" i="16"/>
  <c r="B6" i="16" s="1"/>
  <c r="M31" i="16" s="1"/>
  <c r="K10" i="16" l="1"/>
  <c r="K5" i="16"/>
  <c r="L11" i="16"/>
  <c r="M5" i="16"/>
  <c r="K35" i="16"/>
  <c r="L9" i="16"/>
  <c r="K9" i="16"/>
  <c r="M7" i="16"/>
  <c r="K36" i="16"/>
  <c r="L34" i="16"/>
  <c r="M8" i="16"/>
  <c r="K31" i="16"/>
  <c r="K7" i="16"/>
  <c r="L35" i="16"/>
  <c r="M33" i="16"/>
  <c r="K32" i="16"/>
  <c r="K8" i="16"/>
  <c r="L6" i="16"/>
  <c r="M34" i="16"/>
  <c r="M32" i="16"/>
  <c r="L31" i="16"/>
  <c r="L7" i="16"/>
  <c r="K30" i="16"/>
  <c r="L33" i="16"/>
  <c r="L10" i="16"/>
  <c r="K34" i="16"/>
  <c r="M6" i="16"/>
  <c r="L36" i="16"/>
  <c r="K6" i="16"/>
  <c r="K33" i="16"/>
  <c r="K11" i="16"/>
  <c r="L8" i="16"/>
  <c r="L30" i="16"/>
  <c r="M35" i="16"/>
  <c r="L5" i="16"/>
  <c r="L32" i="16"/>
  <c r="M9" i="16"/>
  <c r="M30" i="16"/>
  <c r="M36" i="16"/>
  <c r="M10" i="16"/>
  <c r="M11" i="16"/>
  <c r="C3" i="16"/>
  <c r="N9" i="16" l="1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<sst xmlns="http://schemas.openxmlformats.org/spreadsheetml/2006/main" count="334" uniqueCount="153">
  <si>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</si>
  <si>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</si>
  <si>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</si>
  <si>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</si>
  <si>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</si>
  <si>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</si>
  <si>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</si>
  <si>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</si>
  <si>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</si>
  <si>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</si>
  <si>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</si>
  <si>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</si>
  <si>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</si>
  <si>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</si>
  <si>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</si>
  <si>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</si>
  <si>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</si>
  <si>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</si>
  <si>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</si>
  <si>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</si>
  <si>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</si>
  <si>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</si>
  <si>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</si>
  <si>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</si>
  <si>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</si>
  <si>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</si>
  <si>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</si>
  <si>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</si>
  <si>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</si>
  <si>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</si>
  <si>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</si>
  <si>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</si>
  <si>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</si>
  <si>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</si>
  <si>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</si>
  <si>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</si>
  <si>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</si>
  <si>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</si>
  <si>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</si>
  <si>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</si>
  <si>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</si>
  <si>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</si>
  <si>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</si>
  <si>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</si>
  <si>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</si>
  <si>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</si>
  <si>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</si>
  <si>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</si>
  <si>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</si>
  <si>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</si>
  <si>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</si>
  <si>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</si>
  <si>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</si>
  <si>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</si>
  <si>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</si>
  <si>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</si>
  <si>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</si>
  <si>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</si>
  <si>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</si>
  <si>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</si>
  <si>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</si>
  <si>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</si>
  <si>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</si>
  <si>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</si>
  <si>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</si>
  <si>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</si>
  <si>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</si>
  <si>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</si>
  <si>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</si>
  <si>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</si>
  <si>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</si>
  <si>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</si>
  <si>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</si>
  <si>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</si>
  <si>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</si>
  <si>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</si>
  <si>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</si>
  <si>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</si>
  <si>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</si>
  <si>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</si>
  <si>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</si>
  <si>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</si>
  <si>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</si>
  <si>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</si>
  <si>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</si>
  <si>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</si>
  <si>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</si>
  <si>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</si>
  <si>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</si>
  <si>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</si>
  <si>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</si>
  <si>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</si>
  <si>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</si>
  <si>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</si>
  <si>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</si>
  <si>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</si>
  <si>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</si>
  <si>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</si>
  <si>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</si>
  <si>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</si>
  <si>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</si>
  <si>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</si>
  <si>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</si>
  <si>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</si>
  <si>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</si>
  <si>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</si>
  <si>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</si>
  <si>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</si>
  <si>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</si>
  <si>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</si>
  <si>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</si>
  <si>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</si>
  <si>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</si>
  <si>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</si>
  <si>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</si>
  <si>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</si>
  <si>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</si>
  <si>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</si>
  <si>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</si>
  <si>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</si>
  <si>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</si>
  <si>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</si>
  <si>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</si>
  <si>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</si>
  <si>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</si>
  <si>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</si>
  <si>
    <t>Page</t>
  </si>
  <si>
    <t>Shift</t>
  </si>
  <si>
    <t>Rain</t>
  </si>
  <si>
    <t>SACars</t>
  </si>
  <si>
    <t>VICCars</t>
  </si>
  <si>
    <t>NSWCars</t>
  </si>
  <si>
    <t>QLDCars</t>
  </si>
  <si>
    <t>WACars</t>
  </si>
  <si>
    <t>OtherCars</t>
  </si>
  <si>
    <t>SACampers</t>
  </si>
  <si>
    <t>VICCampers</t>
  </si>
  <si>
    <t>NSWCampers</t>
  </si>
  <si>
    <t>QLDCampers</t>
  </si>
  <si>
    <t>WACampers</t>
  </si>
  <si>
    <t>OtherCampers</t>
  </si>
  <si>
    <t>SATrucks</t>
  </si>
  <si>
    <t>VICTrucks</t>
  </si>
  <si>
    <t>NSWTrucks</t>
  </si>
  <si>
    <t>QLDTrucks</t>
  </si>
  <si>
    <t>WATrucks</t>
  </si>
  <si>
    <t>OtherTrucks</t>
  </si>
  <si>
    <t>SABuses</t>
  </si>
  <si>
    <t>VICBuses</t>
  </si>
  <si>
    <t>NSWBuses</t>
  </si>
  <si>
    <t>QLDBuses</t>
  </si>
  <si>
    <t>WABuses</t>
  </si>
  <si>
    <t>OtherBuses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</si>
</sst>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0" tint="-0.1499984740745262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5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37" fillId="0" borderId="0" xfId="0" applyFont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" fillId="32" borderId="109" xfId="0" applyFont="1" applyFill="1" applyBorder="1" applyAlignment="1">
      <alignment horizontal="center" vertical="center" textRotation="45"/>
    </xf>
    <xf numFmtId="0" fontId="0" fillId="31" borderId="82" xfId="0" applyFill="1" applyBorder="1"/>
    <xf numFmtId="0" fontId="0" fillId="0" borderId="82" xfId="0" applyBorder="1"/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FF"/>
      <color rgb="FFE1FFE4"/>
      <color rgb="FFE7FFEC"/>
      <color rgb="FFFF0000"/>
      <color rgb="FF990033"/>
      <color rgb="FFFF9900"/>
      <color rgb="FFFF3300"/>
      <color rgb="FF000066"/>
      <color rgb="FF66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23688"/>
        <c:axId val="374422512"/>
      </c:barChart>
      <c:catAx>
        <c:axId val="37442368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2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422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36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27608"/>
        <c:axId val="374426824"/>
      </c:barChart>
      <c:catAx>
        <c:axId val="37442760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68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426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76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28000"/>
        <c:axId val="374424472"/>
      </c:barChart>
      <c:catAx>
        <c:axId val="37442800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4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4424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80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27216"/>
        <c:axId val="374423296"/>
      </c:barChart>
      <c:catAx>
        <c:axId val="37442721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3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423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72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429568"/>
        <c:axId val="374422120"/>
      </c:barChart>
      <c:catAx>
        <c:axId val="37442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21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442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426040"/>
        <c:axId val="377800832"/>
      </c:barChart>
      <c:catAx>
        <c:axId val="37442604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008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7800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4260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7800048"/>
        <c:axId val="377796912"/>
      </c:barChart>
      <c:catAx>
        <c:axId val="37780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6912"/>
        <c:crosses val="autoZero"/>
        <c:auto val="1"/>
        <c:lblAlgn val="ctr"/>
        <c:lblOffset val="100"/>
        <c:noMultiLvlLbl val="0"/>
      </c:catAx>
      <c:valAx>
        <c:axId val="37779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94952"/>
        <c:axId val="377795736"/>
      </c:scatterChart>
      <c:valAx>
        <c:axId val="37779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5736"/>
        <c:crosses val="autoZero"/>
        <c:crossBetween val="midCat"/>
      </c:valAx>
      <c:valAx>
        <c:axId val="37779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7798480"/>
        <c:axId val="377799656"/>
      </c:barChart>
      <c:catAx>
        <c:axId val="37779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9656"/>
        <c:crosses val="autoZero"/>
        <c:auto val="1"/>
        <c:lblAlgn val="ctr"/>
        <c:lblOffset val="100"/>
        <c:noMultiLvlLbl val="0"/>
      </c:catAx>
      <c:valAx>
        <c:axId val="37779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9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796128"/>
        <c:axId val="377797304"/>
      </c:barChart>
      <c:catAx>
        <c:axId val="37779612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730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77973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61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795344"/>
        <c:axId val="377799264"/>
      </c:barChart>
      <c:catAx>
        <c:axId val="37779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799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95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365760</xdr:colOff>
          <xdr:row>58</xdr:row>
          <xdr:rowOff>312420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1" t="str">
        <f>"AMOUNT OF FRUIT CONFISCATED AT " &amp; Location &amp; " (kg)"</f>
        <v>AMOUNT OF FRUIT CONFISCATED AT OODLA WIRRA (kg)</v>
      </c>
      <c r="C2" s="352"/>
      <c r="D2" s="352"/>
      <c r="E2" s="352"/>
      <c r="F2" s="352"/>
      <c r="G2" s="352"/>
      <c r="H2" s="352"/>
      <c r="I2" s="352"/>
      <c r="J2" s="353"/>
      <c r="K2" s="353"/>
      <c r="L2" s="354"/>
    </row>
    <row r="3" spans="2:13" ht="16.2" thickBot="1" x14ac:dyDescent="0.35">
      <c r="B3" s="355" t="str">
        <f>Month &amp;  " " &amp; Year</f>
        <v>July 2019</v>
      </c>
      <c r="C3" s="356"/>
      <c r="D3" s="356"/>
      <c r="E3" s="356"/>
      <c r="F3" s="356"/>
      <c r="G3" s="356"/>
      <c r="H3" s="356"/>
      <c r="I3" s="356"/>
      <c r="J3" s="357"/>
      <c r="K3" s="357"/>
      <c r="L3" s="358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C4"/>
  <sheetViews>
    <sheetView showGridLines="0" workbookViewId="0">
      <selection activeCell="B4" sqref="B4"/>
    </sheetView>
  </sheetViews>
  <sheetFormatPr defaultRowHeight="13.2" x14ac:dyDescent="0.25"/>
  <cols>
    <col min="12" max="12" width="9" customWidth="1"/>
  </cols>
  <sheetData>
    <row r="2" spans="2:29" ht="13.8" thickBot="1" x14ac:dyDescent="0.3"/>
    <row r="3" spans="2:29" ht="61.2" x14ac:dyDescent="0.25">
      <c r="B3" s="412" t="s">
        <v>84</v>
      </c>
      <c r="C3" s="412" t="s">
        <v>126</v>
      </c>
      <c r="D3" s="412" t="s">
        <v>127</v>
      </c>
      <c r="E3" s="412" t="s">
        <v>128</v>
      </c>
      <c r="F3" s="412" t="s">
        <v>129</v>
      </c>
      <c r="G3" s="412" t="s">
        <v>130</v>
      </c>
      <c r="H3" s="412" t="s">
        <v>131</v>
      </c>
      <c r="I3" s="412" t="s">
        <v>132</v>
      </c>
      <c r="J3" s="412" t="s">
        <v>133</v>
      </c>
      <c r="K3" s="412" t="s">
        <v>134</v>
      </c>
      <c r="L3" s="412" t="s">
        <v>135</v>
      </c>
      <c r="M3" s="412" t="s">
        <v>136</v>
      </c>
      <c r="N3" s="412" t="s">
        <v>137</v>
      </c>
      <c r="O3" s="412" t="s">
        <v>138</v>
      </c>
      <c r="P3" s="412" t="s">
        <v>139</v>
      </c>
      <c r="Q3" s="412" t="s">
        <v>140</v>
      </c>
      <c r="R3" s="412" t="s">
        <v>141</v>
      </c>
      <c r="S3" s="412" t="s">
        <v>142</v>
      </c>
      <c r="T3" s="412" t="s">
        <v>143</v>
      </c>
      <c r="U3" s="412" t="s">
        <v>144</v>
      </c>
      <c r="V3" s="412" t="s">
        <v>145</v>
      </c>
      <c r="W3" s="412" t="s">
        <v>146</v>
      </c>
      <c r="X3" s="412" t="s">
        <v>147</v>
      </c>
      <c r="Y3" s="412" t="s">
        <v>148</v>
      </c>
      <c r="Z3" s="412" t="s">
        <v>149</v>
      </c>
      <c r="AA3" s="412" t="s">
        <v>150</v>
      </c>
      <c r="AB3" s="412" t="s">
        <v>151</v>
      </c>
      <c r="AC3" s="412" t="s">
        <v>152</v>
      </c>
    </row>
    <row r="4" spans="2:29" x14ac:dyDescent="0.25">
      <c r="B4" s="413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4"/>
      <c r="W4" s="414"/>
      <c r="X4" s="414"/>
      <c r="Y4" s="414"/>
      <c r="Z4" s="414"/>
      <c r="AA4" s="414"/>
      <c r="AB4" s="414"/>
      <c r="AC4" s="4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B4"/>
  <sheetViews>
    <sheetView showGridLines="0" tabSelected="1" workbookViewId="0">
      <selection activeCell="B4" sqref="B4"/>
    </sheetView>
  </sheetViews>
  <sheetFormatPr defaultRowHeight="13.2" x14ac:dyDescent="0.25"/>
  <cols>
    <col min="11" max="11" width="9" customWidth="1"/>
  </cols>
  <sheetData>
    <row r="2" spans="2:28" ht="13.8" thickBot="1" x14ac:dyDescent="0.3"/>
    <row r="3" spans="2:28" ht="61.2" x14ac:dyDescent="0.25">
      <c r="B3" s="412" t="s">
        <v>84</v>
      </c>
      <c r="C3" s="412" t="s">
        <v>126</v>
      </c>
      <c r="D3" s="412" t="s">
        <v>127</v>
      </c>
      <c r="E3" s="412" t="s">
        <v>129</v>
      </c>
      <c r="F3" s="412" t="s">
        <v>130</v>
      </c>
      <c r="G3" s="412" t="s">
        <v>131</v>
      </c>
      <c r="H3" s="412" t="s">
        <v>132</v>
      </c>
      <c r="I3" s="412" t="s">
        <v>133</v>
      </c>
      <c r="J3" s="412" t="s">
        <v>134</v>
      </c>
      <c r="K3" s="412" t="s">
        <v>135</v>
      </c>
      <c r="L3" s="412" t="s">
        <v>136</v>
      </c>
      <c r="M3" s="412" t="s">
        <v>137</v>
      </c>
      <c r="N3" s="412" t="s">
        <v>138</v>
      </c>
      <c r="O3" s="412" t="s">
        <v>139</v>
      </c>
      <c r="P3" s="412" t="s">
        <v>140</v>
      </c>
      <c r="Q3" s="412" t="s">
        <v>141</v>
      </c>
      <c r="R3" s="412" t="s">
        <v>142</v>
      </c>
      <c r="S3" s="412" t="s">
        <v>143</v>
      </c>
      <c r="T3" s="412" t="s">
        <v>144</v>
      </c>
      <c r="U3" s="412" t="s">
        <v>145</v>
      </c>
      <c r="V3" s="412" t="s">
        <v>146</v>
      </c>
      <c r="W3" s="412" t="s">
        <v>147</v>
      </c>
      <c r="X3" s="412" t="s">
        <v>148</v>
      </c>
      <c r="Y3" s="412" t="s">
        <v>149</v>
      </c>
      <c r="Z3" s="412" t="s">
        <v>150</v>
      </c>
      <c r="AA3" s="412" t="s">
        <v>151</v>
      </c>
      <c r="AB3" s="412" t="s">
        <v>152</v>
      </c>
    </row>
    <row r="4" spans="2:28" x14ac:dyDescent="0.25">
      <c r="B4" s="413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4"/>
      <c r="W4" s="414"/>
      <c r="X4" s="414"/>
      <c r="Y4" s="414"/>
      <c r="Z4" s="414"/>
      <c r="AA4" s="414"/>
      <c r="AB4" s="4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9" t="str">
        <f>"COMMERCIAL VEHICLES PASSING THROUGH " &amp; Location</f>
        <v>COMMERCIAL VEHICLES PASSING THROUGH OODLA WIRRA</v>
      </c>
      <c r="C2" s="360"/>
      <c r="D2" s="360"/>
      <c r="E2" s="360"/>
      <c r="F2" s="360"/>
      <c r="G2" s="360"/>
      <c r="H2" s="360"/>
      <c r="I2" s="361"/>
    </row>
    <row r="3" spans="2:9" ht="22.95" customHeight="1" thickBot="1" x14ac:dyDescent="0.3">
      <c r="B3" s="362" t="str">
        <f>Month &amp; " " &amp; Year</f>
        <v>July 2019</v>
      </c>
      <c r="C3" s="363"/>
      <c r="D3" s="363"/>
      <c r="E3" s="363"/>
      <c r="F3" s="363"/>
      <c r="G3" s="363"/>
      <c r="H3" s="363"/>
      <c r="I3" s="364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5" t="str">
        <f xml:space="preserve"> "CARS PASSING THROUGH " &amp; Location</f>
        <v>CARS PASSING THROUGH OODLA WIRRA</v>
      </c>
      <c r="C2" s="366"/>
      <c r="D2" s="366"/>
      <c r="E2" s="366"/>
      <c r="F2" s="366"/>
      <c r="G2" s="366"/>
      <c r="H2" s="366"/>
      <c r="I2" s="367"/>
    </row>
    <row r="3" spans="2:9" ht="18" thickBot="1" x14ac:dyDescent="0.3">
      <c r="B3" s="368" t="str">
        <f>Month &amp; " " &amp; Year</f>
        <v>July 2019</v>
      </c>
      <c r="C3" s="369"/>
      <c r="D3" s="369"/>
      <c r="E3" s="369"/>
      <c r="F3" s="369"/>
      <c r="G3" s="369"/>
      <c r="H3" s="369"/>
      <c r="I3" s="370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8" t="e">
        <f>#REF!&amp; " " &amp;#REF!</f>
        <v>#REF!</v>
      </c>
      <c r="B2" s="369"/>
      <c r="C2" s="369"/>
      <c r="D2" s="369"/>
      <c r="E2" s="369"/>
      <c r="F2" s="369"/>
      <c r="G2" s="369"/>
      <c r="H2" s="370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5" t="str">
        <f xml:space="preserve"> "CARAVANS &amp; CAMPERS PASSING THROUGH " &amp; Location</f>
        <v>CARAVANS &amp; CAMPERS PASSING THROUGH OODLA WIRRA</v>
      </c>
      <c r="C2" s="366"/>
      <c r="D2" s="366"/>
      <c r="E2" s="366"/>
      <c r="F2" s="366"/>
      <c r="G2" s="366"/>
      <c r="H2" s="366"/>
      <c r="I2" s="367"/>
    </row>
    <row r="3" spans="2:9" ht="18" thickBot="1" x14ac:dyDescent="0.3">
      <c r="B3" s="368" t="str">
        <f>Month &amp; " " &amp; Year</f>
        <v>July 2019</v>
      </c>
      <c r="C3" s="369"/>
      <c r="D3" s="369"/>
      <c r="E3" s="369"/>
      <c r="F3" s="369"/>
      <c r="G3" s="369"/>
      <c r="H3" s="369"/>
      <c r="I3" s="370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5" t="str">
        <f>"VEHICLES PASSING THROUGH " &amp; Location &amp; " - MIDNIGHT SHIFT "</f>
        <v xml:space="preserve">VEHICLES PASSING THROUGH OODLA WIRRA - MIDNIGHT SHIFT </v>
      </c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71"/>
    </row>
    <row r="3" spans="2:14" ht="16.2" thickBot="1" x14ac:dyDescent="0.3">
      <c r="B3" s="362" t="str">
        <f>Month &amp; " " &amp; Year</f>
        <v>July 2019</v>
      </c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4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B2:N65"/>
  <sheetViews>
    <sheetView showGridLines="0" showRowColHeaders="0" zoomScaleNormal="100" workbookViewId="0">
      <selection activeCell="Q4" sqref="Q4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81" t="str">
        <f>Location&amp;" - Traffic Volumes per Shift - "&amp; Month &amp; " " &amp; Year</f>
        <v>OODLA WIRRA - Traffic Volumes per Shift - July 2019</v>
      </c>
      <c r="D3" s="382"/>
      <c r="E3" s="382"/>
      <c r="F3" s="382"/>
      <c r="G3" s="382"/>
      <c r="H3" s="383"/>
      <c r="J3" s="378" t="s">
        <v>119</v>
      </c>
      <c r="K3" s="379"/>
      <c r="L3" s="379"/>
      <c r="M3" s="379"/>
      <c r="N3" s="380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350" t="str">
        <f>TEXT(D5,"dddd")</f>
        <v>Monday</v>
      </c>
      <c r="C5" s="347">
        <v>1</v>
      </c>
      <c r="D5" s="349">
        <f>DATE(Year,MONTH(1&amp;Month),DateShiftStats)</f>
        <v>43647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SUMIF($B$5:$B$35,$J5,E$5:E$35)</f>
        <v>0</v>
      </c>
      <c r="L5" s="328">
        <f>SUMIF($B$5:$B$35,$J5,F$5:F$35)</f>
        <v>0</v>
      </c>
      <c r="M5" s="329">
        <f>SUMIF($B$5:$B$35,$J5,G$5:G$35)</f>
        <v>0</v>
      </c>
      <c r="N5" s="330">
        <f>SUM(K5:M5)</f>
        <v>0</v>
      </c>
    </row>
    <row r="6" spans="2:14" ht="15" x14ac:dyDescent="0.25">
      <c r="B6" s="350" t="str">
        <f t="shared" ref="B6:B35" si="0">TEXT(D6,"dddd")</f>
        <v>Tuesday</v>
      </c>
      <c r="C6" s="347">
        <v>2</v>
      </c>
      <c r="D6" s="349">
        <f t="shared" ref="D6:D35" si="1">DATE(Year,MONTH(1&amp;Month),DateShiftStats)</f>
        <v>43648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28">
        <f t="shared" ref="K6:K11" si="3">SUMIF($B$5:$B$35,$J6,E$5:E$35)</f>
        <v>0</v>
      </c>
      <c r="L6" s="328">
        <f t="shared" ref="L6:L11" si="4">SUMIF($B$5:$B$35,$J6,F$5:F$35)</f>
        <v>0</v>
      </c>
      <c r="M6" s="329">
        <f t="shared" ref="M6:M11" si="5">SUMIF($B$5:$B$35,$J6,G$5:G$35)</f>
        <v>0</v>
      </c>
      <c r="N6" s="331">
        <f t="shared" ref="N6:N11" si="6">SUM(K6:M6)</f>
        <v>0</v>
      </c>
    </row>
    <row r="7" spans="2:14" ht="15" x14ac:dyDescent="0.25">
      <c r="B7" s="350" t="str">
        <f t="shared" si="0"/>
        <v>Wednesday</v>
      </c>
      <c r="C7" s="347">
        <v>3</v>
      </c>
      <c r="D7" s="349">
        <f t="shared" si="1"/>
        <v>43649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28">
        <f t="shared" si="3"/>
        <v>0</v>
      </c>
      <c r="L7" s="328">
        <f t="shared" si="4"/>
        <v>0</v>
      </c>
      <c r="M7" s="329">
        <f t="shared" si="5"/>
        <v>0</v>
      </c>
      <c r="N7" s="331">
        <f t="shared" si="6"/>
        <v>0</v>
      </c>
    </row>
    <row r="8" spans="2:14" ht="15" x14ac:dyDescent="0.25">
      <c r="B8" s="350" t="str">
        <f t="shared" si="0"/>
        <v>Thursday</v>
      </c>
      <c r="C8" s="347">
        <v>4</v>
      </c>
      <c r="D8" s="349">
        <f t="shared" si="1"/>
        <v>43650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28">
        <f t="shared" si="3"/>
        <v>0</v>
      </c>
      <c r="L8" s="328">
        <f t="shared" si="4"/>
        <v>0</v>
      </c>
      <c r="M8" s="329">
        <f t="shared" si="5"/>
        <v>0</v>
      </c>
      <c r="N8" s="331">
        <f t="shared" si="6"/>
        <v>0</v>
      </c>
    </row>
    <row r="9" spans="2:14" ht="15" x14ac:dyDescent="0.25">
      <c r="B9" s="350" t="str">
        <f t="shared" si="0"/>
        <v>Friday</v>
      </c>
      <c r="C9" s="347">
        <v>5</v>
      </c>
      <c r="D9" s="349">
        <f t="shared" si="1"/>
        <v>43651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28">
        <f t="shared" si="3"/>
        <v>0</v>
      </c>
      <c r="L9" s="328">
        <f t="shared" si="4"/>
        <v>0</v>
      </c>
      <c r="M9" s="329">
        <f t="shared" si="5"/>
        <v>0</v>
      </c>
      <c r="N9" s="331">
        <f t="shared" si="6"/>
        <v>0</v>
      </c>
    </row>
    <row r="10" spans="2:14" ht="15" x14ac:dyDescent="0.25">
      <c r="B10" s="350" t="str">
        <f t="shared" si="0"/>
        <v>Saturday</v>
      </c>
      <c r="C10" s="347">
        <v>6</v>
      </c>
      <c r="D10" s="349">
        <f t="shared" si="1"/>
        <v>43652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28">
        <f t="shared" si="3"/>
        <v>0</v>
      </c>
      <c r="L10" s="328">
        <f t="shared" si="4"/>
        <v>0</v>
      </c>
      <c r="M10" s="329">
        <f t="shared" si="5"/>
        <v>0</v>
      </c>
      <c r="N10" s="331">
        <f t="shared" si="6"/>
        <v>0</v>
      </c>
    </row>
    <row r="11" spans="2:14" ht="15.6" thickBot="1" x14ac:dyDescent="0.3">
      <c r="B11" s="350" t="str">
        <f t="shared" si="0"/>
        <v>Sunday</v>
      </c>
      <c r="C11" s="347">
        <v>7</v>
      </c>
      <c r="D11" s="349">
        <f t="shared" si="1"/>
        <v>43653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28">
        <f t="shared" si="3"/>
        <v>0</v>
      </c>
      <c r="L11" s="328">
        <f t="shared" si="4"/>
        <v>0</v>
      </c>
      <c r="M11" s="329">
        <f t="shared" si="5"/>
        <v>0</v>
      </c>
      <c r="N11" s="332">
        <f t="shared" si="6"/>
        <v>0</v>
      </c>
    </row>
    <row r="12" spans="2:14" ht="15.6" thickBot="1" x14ac:dyDescent="0.3">
      <c r="B12" s="350" t="str">
        <f t="shared" si="0"/>
        <v>Monday</v>
      </c>
      <c r="C12" s="347">
        <v>8</v>
      </c>
      <c r="D12" s="349">
        <f t="shared" si="1"/>
        <v>43654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3">
        <f>SUM(K5:K11)</f>
        <v>0</v>
      </c>
      <c r="L12" s="334">
        <f t="shared" ref="L12:M12" si="7">SUM(L5:L11)</f>
        <v>0</v>
      </c>
      <c r="M12" s="335">
        <f t="shared" si="7"/>
        <v>0</v>
      </c>
      <c r="N12" s="336">
        <f>SUM(K12:M12)</f>
        <v>0</v>
      </c>
    </row>
    <row r="13" spans="2:14" ht="15" x14ac:dyDescent="0.25">
      <c r="B13" s="350" t="str">
        <f t="shared" si="0"/>
        <v>Tuesday</v>
      </c>
      <c r="C13" s="347">
        <v>9</v>
      </c>
      <c r="D13" s="349">
        <f t="shared" si="1"/>
        <v>43655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2:14" ht="15" x14ac:dyDescent="0.25">
      <c r="B14" s="350" t="str">
        <f t="shared" si="0"/>
        <v>Wednesday</v>
      </c>
      <c r="C14" s="347">
        <v>10</v>
      </c>
      <c r="D14" s="349">
        <f t="shared" si="1"/>
        <v>43656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2:14" ht="15" x14ac:dyDescent="0.25">
      <c r="B15" s="350" t="str">
        <f t="shared" si="0"/>
        <v>Thursday</v>
      </c>
      <c r="C15" s="347">
        <v>11</v>
      </c>
      <c r="D15" s="349">
        <f t="shared" si="1"/>
        <v>43657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2:14" ht="15" x14ac:dyDescent="0.25">
      <c r="B16" s="350" t="str">
        <f t="shared" si="0"/>
        <v>Friday</v>
      </c>
      <c r="C16" s="347">
        <v>12</v>
      </c>
      <c r="D16" s="349">
        <f t="shared" si="1"/>
        <v>43658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2:14" ht="15" x14ac:dyDescent="0.25">
      <c r="B17" s="350" t="str">
        <f t="shared" si="0"/>
        <v>Saturday</v>
      </c>
      <c r="C17" s="347">
        <v>13</v>
      </c>
      <c r="D17" s="349">
        <f t="shared" si="1"/>
        <v>43659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2:14" ht="15" x14ac:dyDescent="0.25">
      <c r="B18" s="350" t="str">
        <f>TEXT(D18,"dddd")</f>
        <v>Sunday</v>
      </c>
      <c r="C18" s="347">
        <v>14</v>
      </c>
      <c r="D18" s="349">
        <f t="shared" si="1"/>
        <v>43660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2:14" ht="15" x14ac:dyDescent="0.25">
      <c r="B19" s="350" t="str">
        <f t="shared" si="0"/>
        <v>Monday</v>
      </c>
      <c r="C19" s="347">
        <v>15</v>
      </c>
      <c r="D19" s="349">
        <f t="shared" si="1"/>
        <v>43661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2:14" ht="15" x14ac:dyDescent="0.25">
      <c r="B20" s="350" t="str">
        <f t="shared" si="0"/>
        <v>Tuesday</v>
      </c>
      <c r="C20" s="347">
        <v>16</v>
      </c>
      <c r="D20" s="349">
        <f t="shared" si="1"/>
        <v>43662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2:14" ht="15" x14ac:dyDescent="0.25">
      <c r="B21" s="350" t="str">
        <f t="shared" si="0"/>
        <v>Wednesday</v>
      </c>
      <c r="C21" s="347">
        <v>17</v>
      </c>
      <c r="D21" s="349">
        <f t="shared" si="1"/>
        <v>43663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2:14" ht="15" x14ac:dyDescent="0.25">
      <c r="B22" s="350" t="str">
        <f t="shared" si="0"/>
        <v>Thursday</v>
      </c>
      <c r="C22" s="347">
        <v>18</v>
      </c>
      <c r="D22" s="349">
        <f t="shared" si="1"/>
        <v>43664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2:14" ht="15" x14ac:dyDescent="0.25">
      <c r="B23" s="350" t="str">
        <f t="shared" si="0"/>
        <v>Friday</v>
      </c>
      <c r="C23" s="347">
        <v>19</v>
      </c>
      <c r="D23" s="349">
        <f t="shared" si="1"/>
        <v>43665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2:14" ht="15" x14ac:dyDescent="0.25">
      <c r="B24" s="350" t="str">
        <f t="shared" si="0"/>
        <v>Saturday</v>
      </c>
      <c r="C24" s="347">
        <v>20</v>
      </c>
      <c r="D24" s="349">
        <f t="shared" si="1"/>
        <v>43666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2:14" ht="15" x14ac:dyDescent="0.25">
      <c r="B25" s="350" t="str">
        <f t="shared" si="0"/>
        <v>Sunday</v>
      </c>
      <c r="C25" s="347">
        <v>21</v>
      </c>
      <c r="D25" s="349">
        <f t="shared" si="1"/>
        <v>43667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2:14" ht="15.6" thickBot="1" x14ac:dyDescent="0.3">
      <c r="B26" s="350" t="str">
        <f t="shared" si="0"/>
        <v>Monday</v>
      </c>
      <c r="C26" s="347">
        <v>22</v>
      </c>
      <c r="D26" s="349">
        <f t="shared" si="1"/>
        <v>43668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2:14" ht="16.5" customHeight="1" x14ac:dyDescent="0.25">
      <c r="B27" s="350" t="str">
        <f>TEXT(D27,"dddd")</f>
        <v>Tuesday</v>
      </c>
      <c r="C27" s="347">
        <v>23</v>
      </c>
      <c r="D27" s="349">
        <f t="shared" si="1"/>
        <v>43669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2" t="s">
        <v>121</v>
      </c>
      <c r="K27" s="373"/>
      <c r="L27" s="373"/>
      <c r="M27" s="373"/>
      <c r="N27" s="374"/>
    </row>
    <row r="28" spans="2:14" ht="16.5" customHeight="1" thickBot="1" x14ac:dyDescent="0.3">
      <c r="B28" s="350" t="str">
        <f t="shared" si="0"/>
        <v>Wednesday</v>
      </c>
      <c r="C28" s="347">
        <v>24</v>
      </c>
      <c r="D28" s="349">
        <f t="shared" si="1"/>
        <v>43670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75"/>
      <c r="K28" s="376"/>
      <c r="L28" s="376"/>
      <c r="M28" s="376"/>
      <c r="N28" s="377"/>
    </row>
    <row r="29" spans="2:14" ht="15.75" customHeight="1" thickBot="1" x14ac:dyDescent="0.3">
      <c r="B29" s="350" t="str">
        <f t="shared" si="0"/>
        <v>Thursday</v>
      </c>
      <c r="C29" s="347">
        <v>25</v>
      </c>
      <c r="D29" s="349">
        <f t="shared" si="1"/>
        <v>43671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350" t="str">
        <f t="shared" si="0"/>
        <v>Friday</v>
      </c>
      <c r="C30" s="347">
        <v>26</v>
      </c>
      <c r="D30" s="349">
        <f t="shared" si="1"/>
        <v>43672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38" t="s">
        <v>112</v>
      </c>
      <c r="K30" s="341">
        <f>AVERAGEIF($B$5:$B$35,J30,E$5:E$35)</f>
        <v>0</v>
      </c>
      <c r="L30" s="337">
        <f>AVERAGEIF($B$5:$B$35,J30,F$5:F$35)</f>
        <v>0</v>
      </c>
      <c r="M30" s="337">
        <f>AVERAGEIF($B$5:$B$35,J30,G$5:G$35)</f>
        <v>0</v>
      </c>
      <c r="N30" s="343">
        <f>AVERAGE(K30:M30)</f>
        <v>0</v>
      </c>
    </row>
    <row r="31" spans="2:14" ht="16.2" thickBot="1" x14ac:dyDescent="0.35">
      <c r="B31" s="350" t="str">
        <f t="shared" si="0"/>
        <v>Saturday</v>
      </c>
      <c r="C31" s="347">
        <v>27</v>
      </c>
      <c r="D31" s="349">
        <f t="shared" si="1"/>
        <v>43673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39" t="s">
        <v>113</v>
      </c>
      <c r="K31" s="341">
        <f t="shared" ref="K31:K36" si="8">AVERAGEIF($B$5:$B$35,J31,E$5:E$35)</f>
        <v>0</v>
      </c>
      <c r="L31" s="337">
        <f t="shared" ref="L31:L36" si="9">AVERAGEIF($B$5:$B$35,J31,F$5:F$35)</f>
        <v>0</v>
      </c>
      <c r="M31" s="337">
        <f t="shared" ref="M31:M36" si="10">AVERAGEIF($B$5:$B$35,J31,G$5:G$35)</f>
        <v>0</v>
      </c>
      <c r="N31" s="344">
        <f>AVERAGE(K31:M31)</f>
        <v>0</v>
      </c>
    </row>
    <row r="32" spans="2:14" ht="16.2" thickBot="1" x14ac:dyDescent="0.35">
      <c r="B32" s="350" t="str">
        <f t="shared" si="0"/>
        <v>Sunday</v>
      </c>
      <c r="C32" s="347">
        <v>28</v>
      </c>
      <c r="D32" s="349">
        <f t="shared" si="1"/>
        <v>43674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39" t="s">
        <v>114</v>
      </c>
      <c r="K32" s="341">
        <f t="shared" si="8"/>
        <v>0</v>
      </c>
      <c r="L32" s="337">
        <f t="shared" si="9"/>
        <v>0</v>
      </c>
      <c r="M32" s="337">
        <f t="shared" si="10"/>
        <v>0</v>
      </c>
      <c r="N32" s="344">
        <f t="shared" ref="N32:N36" si="11">AVERAGE(K32:M32)</f>
        <v>0</v>
      </c>
    </row>
    <row r="33" spans="2:14" ht="16.2" thickBot="1" x14ac:dyDescent="0.35">
      <c r="B33" s="350" t="str">
        <f t="shared" si="0"/>
        <v>Monday</v>
      </c>
      <c r="C33" s="347">
        <v>29</v>
      </c>
      <c r="D33" s="349">
        <f t="shared" si="1"/>
        <v>43675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39" t="s">
        <v>115</v>
      </c>
      <c r="K33" s="341">
        <f t="shared" si="8"/>
        <v>0</v>
      </c>
      <c r="L33" s="337">
        <f t="shared" si="9"/>
        <v>0</v>
      </c>
      <c r="M33" s="337">
        <f t="shared" si="10"/>
        <v>0</v>
      </c>
      <c r="N33" s="344">
        <f t="shared" si="11"/>
        <v>0</v>
      </c>
    </row>
    <row r="34" spans="2:14" ht="16.2" thickBot="1" x14ac:dyDescent="0.35">
      <c r="B34" s="350" t="str">
        <f t="shared" si="0"/>
        <v>Tuesday</v>
      </c>
      <c r="C34" s="347">
        <v>30</v>
      </c>
      <c r="D34" s="349">
        <f t="shared" si="1"/>
        <v>43676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39" t="s">
        <v>116</v>
      </c>
      <c r="K34" s="341">
        <f t="shared" si="8"/>
        <v>0</v>
      </c>
      <c r="L34" s="337">
        <f t="shared" si="9"/>
        <v>0</v>
      </c>
      <c r="M34" s="337">
        <f t="shared" si="10"/>
        <v>0</v>
      </c>
      <c r="N34" s="344">
        <f t="shared" si="11"/>
        <v>0</v>
      </c>
    </row>
    <row r="35" spans="2:14" ht="16.2" thickBot="1" x14ac:dyDescent="0.35">
      <c r="B35" s="350" t="str">
        <f t="shared" si="0"/>
        <v>Wednesday</v>
      </c>
      <c r="C35" s="348">
        <v>31</v>
      </c>
      <c r="D35" s="349">
        <f t="shared" si="1"/>
        <v>43677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39" t="s">
        <v>117</v>
      </c>
      <c r="K35" s="341">
        <f t="shared" si="8"/>
        <v>0</v>
      </c>
      <c r="L35" s="337">
        <f t="shared" si="9"/>
        <v>0</v>
      </c>
      <c r="M35" s="337">
        <f t="shared" si="10"/>
        <v>0</v>
      </c>
      <c r="N35" s="344">
        <f t="shared" si="11"/>
        <v>0</v>
      </c>
    </row>
    <row r="36" spans="2:14" ht="16.5" customHeight="1" thickBot="1" x14ac:dyDescent="0.35">
      <c r="C36" s="384" t="s">
        <v>124</v>
      </c>
      <c r="D36" s="385"/>
      <c r="E36" s="286">
        <f>SUM(E5:E35)</f>
        <v>0</v>
      </c>
      <c r="F36" s="287">
        <f t="shared" ref="F36:H36" si="12">SUM(F5:F35)</f>
        <v>0</v>
      </c>
      <c r="G36" s="288">
        <f t="shared" si="12"/>
        <v>0</v>
      </c>
      <c r="H36" s="289">
        <f t="shared" si="12"/>
        <v>0</v>
      </c>
      <c r="J36" s="340" t="s">
        <v>118</v>
      </c>
      <c r="K36" s="341">
        <f t="shared" si="8"/>
        <v>0</v>
      </c>
      <c r="L36" s="337">
        <f t="shared" si="9"/>
        <v>0</v>
      </c>
      <c r="M36" s="337">
        <f t="shared" si="10"/>
        <v>0</v>
      </c>
      <c r="N36" s="344">
        <f t="shared" si="11"/>
        <v>0</v>
      </c>
    </row>
    <row r="37" spans="2:14" ht="16.5" customHeight="1" thickBot="1" x14ac:dyDescent="0.35">
      <c r="D37" s="270"/>
      <c r="J37" s="342" t="s">
        <v>122</v>
      </c>
      <c r="K37" s="346">
        <f>AVERAGE(K30:K36)</f>
        <v>0</v>
      </c>
      <c r="L37" s="346">
        <f t="shared" ref="L37:M37" si="13">AVERAGE(L30:L36)</f>
        <v>0</v>
      </c>
      <c r="M37" s="346">
        <f t="shared" si="13"/>
        <v>0</v>
      </c>
      <c r="N37" s="345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6" t="str">
        <f xml:space="preserve"> "VEHICLES WITH FRUIT PASSING THROUGH " &amp; Location</f>
        <v>VEHICLES WITH FRUIT PASSING THROUGH OODLA WIRRA</v>
      </c>
      <c r="D2" s="387"/>
      <c r="E2" s="387"/>
      <c r="F2" s="387"/>
      <c r="G2" s="387"/>
      <c r="H2" s="387"/>
      <c r="I2" s="387"/>
      <c r="J2" s="388"/>
    </row>
    <row r="3" spans="3:10" ht="16.2" thickBot="1" x14ac:dyDescent="0.3">
      <c r="C3" s="389" t="str">
        <f>Month &amp; " " &amp; Year</f>
        <v>July 2019</v>
      </c>
      <c r="D3" s="390"/>
      <c r="E3" s="390"/>
      <c r="F3" s="390"/>
      <c r="G3" s="390"/>
      <c r="H3" s="390"/>
      <c r="I3" s="390"/>
      <c r="J3" s="391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2" t="s">
        <v>86</v>
      </c>
      <c r="D22" s="393"/>
      <c r="E22" s="393"/>
      <c r="F22" s="393"/>
      <c r="G22" s="394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46" zoomScale="130" zoomScaleNormal="130" workbookViewId="0">
      <selection activeCell="D58" sqref="D58:L68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MAX(AllShiftStats)</f>
        <v>0</v>
      </c>
      <c r="K52" s="248" t="s">
        <v>106</v>
      </c>
      <c r="L52" s="249">
        <f>COUNTIF(AllShiftStats,"&gt;199")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5"/>
      <c r="E58" s="396"/>
      <c r="F58" s="396"/>
      <c r="G58" s="396"/>
      <c r="H58" s="396"/>
      <c r="I58" s="396"/>
      <c r="J58" s="396"/>
      <c r="K58" s="396"/>
      <c r="L58" s="397"/>
    </row>
    <row r="59" spans="3:13" x14ac:dyDescent="0.25">
      <c r="D59" s="398"/>
      <c r="E59" s="399"/>
      <c r="F59" s="399"/>
      <c r="G59" s="399"/>
      <c r="H59" s="399"/>
      <c r="I59" s="399"/>
      <c r="J59" s="399"/>
      <c r="K59" s="399"/>
      <c r="L59" s="400"/>
    </row>
    <row r="60" spans="3:13" x14ac:dyDescent="0.25">
      <c r="D60" s="398"/>
      <c r="E60" s="399"/>
      <c r="F60" s="399"/>
      <c r="G60" s="399"/>
      <c r="H60" s="399"/>
      <c r="I60" s="399"/>
      <c r="J60" s="399"/>
      <c r="K60" s="399"/>
      <c r="L60" s="400"/>
    </row>
    <row r="61" spans="3:13" x14ac:dyDescent="0.25">
      <c r="D61" s="398"/>
      <c r="E61" s="399"/>
      <c r="F61" s="399"/>
      <c r="G61" s="399"/>
      <c r="H61" s="399"/>
      <c r="I61" s="399"/>
      <c r="J61" s="399"/>
      <c r="K61" s="399"/>
      <c r="L61" s="400"/>
    </row>
    <row r="62" spans="3:13" x14ac:dyDescent="0.25">
      <c r="D62" s="398"/>
      <c r="E62" s="399"/>
      <c r="F62" s="399"/>
      <c r="G62" s="399"/>
      <c r="H62" s="399"/>
      <c r="I62" s="399"/>
      <c r="J62" s="399"/>
      <c r="K62" s="399"/>
      <c r="L62" s="400"/>
    </row>
    <row r="63" spans="3:13" x14ac:dyDescent="0.25">
      <c r="D63" s="398"/>
      <c r="E63" s="399"/>
      <c r="F63" s="399"/>
      <c r="G63" s="399"/>
      <c r="H63" s="399"/>
      <c r="I63" s="399"/>
      <c r="J63" s="399"/>
      <c r="K63" s="399"/>
      <c r="L63" s="400"/>
    </row>
    <row r="64" spans="3:13" x14ac:dyDescent="0.25">
      <c r="D64" s="398"/>
      <c r="E64" s="399"/>
      <c r="F64" s="399"/>
      <c r="G64" s="399"/>
      <c r="H64" s="399"/>
      <c r="I64" s="399"/>
      <c r="J64" s="399"/>
      <c r="K64" s="399"/>
      <c r="L64" s="400"/>
    </row>
    <row r="65" spans="3:13" x14ac:dyDescent="0.25">
      <c r="D65" s="398"/>
      <c r="E65" s="399"/>
      <c r="F65" s="399"/>
      <c r="G65" s="399"/>
      <c r="H65" s="399"/>
      <c r="I65" s="399"/>
      <c r="J65" s="399"/>
      <c r="K65" s="399"/>
      <c r="L65" s="400"/>
    </row>
    <row r="66" spans="3:13" x14ac:dyDescent="0.25">
      <c r="D66" s="398"/>
      <c r="E66" s="399"/>
      <c r="F66" s="399"/>
      <c r="G66" s="399"/>
      <c r="H66" s="399"/>
      <c r="I66" s="399"/>
      <c r="J66" s="399"/>
      <c r="K66" s="399"/>
      <c r="L66" s="400"/>
    </row>
    <row r="67" spans="3:13" x14ac:dyDescent="0.25">
      <c r="D67" s="398"/>
      <c r="E67" s="399"/>
      <c r="F67" s="399"/>
      <c r="G67" s="399"/>
      <c r="H67" s="399"/>
      <c r="I67" s="399"/>
      <c r="J67" s="399"/>
      <c r="K67" s="399"/>
      <c r="L67" s="400"/>
    </row>
    <row r="68" spans="3:13" ht="13.8" thickBot="1" x14ac:dyDescent="0.3">
      <c r="D68" s="401"/>
      <c r="E68" s="402"/>
      <c r="F68" s="402"/>
      <c r="G68" s="402"/>
      <c r="H68" s="402"/>
      <c r="I68" s="402"/>
      <c r="J68" s="402"/>
      <c r="K68" s="402"/>
      <c r="L68" s="403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08" t="s">
        <v>56</v>
      </c>
      <c r="H23" s="214" t="str">
        <f>TEXT(DATEVALUE(Day &amp; ", " &amp; Month &amp; ", " &amp; Year), "ddd, dd mmm, yyyy")</f>
        <v>Wed, 03 Jul, 2019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09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04" t="s">
        <v>57</v>
      </c>
      <c r="H41" s="212" t="str">
        <f>TEXT(DATEVALUE(Day &amp; ", " &amp; Month &amp; ", " &amp; Year), "ddd, dd mmm, yyyy")</f>
        <v>Wed, 03 Jul, 2019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405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06" t="s">
        <v>58</v>
      </c>
      <c r="H59" s="213" t="str">
        <f>TEXT(DATEVALUE(Day &amp; ", " &amp; Month &amp; ", " &amp; Year), "ddd, dd mmm yyyy")</f>
        <v>Wed, 03 Jul 2019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407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0" t="s">
        <v>65</v>
      </c>
      <c r="E4" s="411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90</vt:i4>
      </vt:variant>
    </vt:vector>
  </HeadingPairs>
  <TitlesOfParts>
    <vt:vector size="106" baseType="lpstr">
      <vt:lpstr>Fruit Confiscated</vt:lpstr>
      <vt:lpstr>TrafficData</vt:lpstr>
      <vt:lpstr>FruitData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AllShiftStats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FruitDataDatum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TrafficDataDatum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2019-11-04T03:14:27Z</dcterms:modified>
</cp:coreProperties>
</file>