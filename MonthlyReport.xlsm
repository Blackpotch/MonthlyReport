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M31" i="16" l="1"/>
  <c r="M32" i="16"/>
  <c r="M33" i="16"/>
  <c r="M34" i="16"/>
  <c r="M35" i="16"/>
  <c r="M36" i="16"/>
  <c r="M30" i="16"/>
  <c r="L31" i="16"/>
  <c r="L32" i="16"/>
  <c r="L33" i="16"/>
  <c r="L34" i="16"/>
  <c r="L35" i="16"/>
  <c r="L36" i="16"/>
  <c r="L30" i="16"/>
  <c r="K31" i="16"/>
  <c r="K32" i="16"/>
  <c r="K33" i="16"/>
  <c r="K34" i="16"/>
  <c r="K35" i="16"/>
  <c r="K36" i="16"/>
  <c r="K30" i="16"/>
  <c r="M6" i="16"/>
  <c r="M7" i="16"/>
  <c r="M8" i="16"/>
  <c r="M9" i="16"/>
  <c r="M10" i="16"/>
  <c r="M11" i="16"/>
  <c r="M5" i="16"/>
  <c r="L6" i="16"/>
  <c r="L7" i="16"/>
  <c r="L8" i="16"/>
  <c r="L9" i="16"/>
  <c r="L10" i="16"/>
  <c r="L11" i="16"/>
  <c r="L5" i="16"/>
  <c r="K6" i="16"/>
  <c r="K7" i="16"/>
  <c r="K8" i="16"/>
  <c r="K9" i="16"/>
  <c r="K10" i="16"/>
  <c r="K11" i="16"/>
  <c r="K5" i="16"/>
  <c r="B27" i="16"/>
  <c r="B28" i="16"/>
  <c r="B29" i="16"/>
  <c r="B30" i="16"/>
  <c r="B31" i="16"/>
  <c r="B32" i="16"/>
  <c r="B33" i="16"/>
  <c r="B34" i="16"/>
  <c r="B35" i="16"/>
  <c r="B18" i="16"/>
  <c r="B19" i="16"/>
  <c r="B20" i="16"/>
  <c r="B21" i="16"/>
  <c r="B22" i="16"/>
  <c r="B23" i="16"/>
  <c r="B24" i="16"/>
  <c r="B25" i="16"/>
  <c r="B26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5" i="16"/>
  <c r="D5" i="16"/>
  <c r="D35" i="16" l="1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6" i="16"/>
  <c r="C3" i="16" l="1"/>
  <c r="N9" i="16" l="1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<sst xmlns="http://schemas.openxmlformats.org/spreadsheetml/2006/main" count="279" uniqueCount="126">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</sst>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0" tint="-0.1499984740745262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2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37" fillId="0" borderId="0" xfId="0" applyFont="1"/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594864"/>
        <c:axId val="258595248"/>
      </c:barChart>
      <c:catAx>
        <c:axId val="25859486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595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8595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5948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298280"/>
        <c:axId val="244944040"/>
      </c:barChart>
      <c:catAx>
        <c:axId val="25829828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9440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4944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2982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096744"/>
        <c:axId val="258097136"/>
      </c:barChart>
      <c:catAx>
        <c:axId val="25809674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0971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58097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0967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097920"/>
        <c:axId val="258095176"/>
      </c:barChart>
      <c:catAx>
        <c:axId val="258097920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095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8095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0979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095568"/>
        <c:axId val="258098312"/>
      </c:barChart>
      <c:catAx>
        <c:axId val="25809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09831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5809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09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096352"/>
        <c:axId val="258930992"/>
      </c:barChart>
      <c:catAx>
        <c:axId val="258096352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930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8930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09635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8929424"/>
        <c:axId val="258928640"/>
      </c:barChart>
      <c:catAx>
        <c:axId val="25892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28640"/>
        <c:crosses val="autoZero"/>
        <c:auto val="1"/>
        <c:lblAlgn val="ctr"/>
        <c:lblOffset val="100"/>
        <c:noMultiLvlLbl val="0"/>
      </c:catAx>
      <c:valAx>
        <c:axId val="2589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2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29816"/>
        <c:axId val="258932560"/>
      </c:scatterChart>
      <c:valAx>
        <c:axId val="25892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32560"/>
        <c:crosses val="autoZero"/>
        <c:crossBetween val="midCat"/>
      </c:valAx>
      <c:valAx>
        <c:axId val="25893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2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8926680"/>
        <c:axId val="258932168"/>
      </c:barChart>
      <c:catAx>
        <c:axId val="258926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32168"/>
        <c:crosses val="autoZero"/>
        <c:auto val="1"/>
        <c:lblAlgn val="ctr"/>
        <c:lblOffset val="100"/>
        <c:noMultiLvlLbl val="0"/>
      </c:catAx>
      <c:valAx>
        <c:axId val="25893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26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930208"/>
        <c:axId val="258927072"/>
      </c:barChart>
      <c:catAx>
        <c:axId val="25893020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9270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58927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9302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931384"/>
        <c:axId val="258925896"/>
      </c:barChart>
      <c:catAx>
        <c:axId val="25893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92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8925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931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23</xdr:row>
          <xdr:rowOff>22860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365760</xdr:colOff>
          <xdr:row>58</xdr:row>
          <xdr:rowOff>312420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19" zoomScale="85" zoomScaleNormal="130" workbookViewId="0">
      <selection activeCell="K11" sqref="K11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0" t="str">
        <f>"AMOUNT OF FRUIT CONFISCATED AT " &amp; Location &amp; " (kg)"</f>
        <v>AMOUNT OF FRUIT CONFISCATED AT OODLA WIRRA (kg)</v>
      </c>
      <c r="C2" s="351"/>
      <c r="D2" s="351"/>
      <c r="E2" s="351"/>
      <c r="F2" s="351"/>
      <c r="G2" s="351"/>
      <c r="H2" s="351"/>
      <c r="I2" s="351"/>
      <c r="J2" s="352"/>
      <c r="K2" s="352"/>
      <c r="L2" s="353"/>
    </row>
    <row r="3" spans="2:13" ht="16.2" thickBot="1" x14ac:dyDescent="0.35">
      <c r="B3" s="354" t="str">
        <f>Month &amp;  " " &amp; Year</f>
        <v>July 2019</v>
      </c>
      <c r="C3" s="355"/>
      <c r="D3" s="355"/>
      <c r="E3" s="355"/>
      <c r="F3" s="355"/>
      <c r="G3" s="355"/>
      <c r="H3" s="355"/>
      <c r="I3" s="355"/>
      <c r="J3" s="356"/>
      <c r="K3" s="356"/>
      <c r="L3" s="357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topLeftCell="A7" zoomScale="70" zoomScaleNormal="70" workbookViewId="0">
      <selection activeCell="F16" sqref="F16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58" t="str">
        <f>"COMMERCIAL VEHICLES PASSING THROUGH " &amp; Location</f>
        <v>COMMERCIAL VEHICLES PASSING THROUGH OODLA WIRRA</v>
      </c>
      <c r="C2" s="359"/>
      <c r="D2" s="359"/>
      <c r="E2" s="359"/>
      <c r="F2" s="359"/>
      <c r="G2" s="359"/>
      <c r="H2" s="359"/>
      <c r="I2" s="360"/>
    </row>
    <row r="3" spans="2:9" ht="22.95" customHeight="1" thickBot="1" x14ac:dyDescent="0.3">
      <c r="B3" s="361" t="str">
        <f>Month &amp; " " &amp; Year</f>
        <v>July 2019</v>
      </c>
      <c r="C3" s="362"/>
      <c r="D3" s="362"/>
      <c r="E3" s="362"/>
      <c r="F3" s="362"/>
      <c r="G3" s="362"/>
      <c r="H3" s="362"/>
      <c r="I3" s="363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5" zoomScaleNormal="85" workbookViewId="0">
      <selection activeCell="F20" sqref="F20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4" t="str">
        <f xml:space="preserve"> "CARS PASSING THROUGH " &amp; Location</f>
        <v>CARS PASSING THROUGH OODLA WIRRA</v>
      </c>
      <c r="C2" s="365"/>
      <c r="D2" s="365"/>
      <c r="E2" s="365"/>
      <c r="F2" s="365"/>
      <c r="G2" s="365"/>
      <c r="H2" s="365"/>
      <c r="I2" s="366"/>
    </row>
    <row r="3" spans="2:9" ht="18" thickBot="1" x14ac:dyDescent="0.3">
      <c r="B3" s="367" t="str">
        <f>Month &amp; " " &amp; Year</f>
        <v>July 2019</v>
      </c>
      <c r="C3" s="368"/>
      <c r="D3" s="368"/>
      <c r="E3" s="368"/>
      <c r="F3" s="368"/>
      <c r="G3" s="368"/>
      <c r="H3" s="368"/>
      <c r="I3" s="36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67" t="e">
        <f>#REF!&amp; " " &amp;#REF!</f>
        <v>#REF!</v>
      </c>
      <c r="B2" s="368"/>
      <c r="C2" s="368"/>
      <c r="D2" s="368"/>
      <c r="E2" s="368"/>
      <c r="F2" s="368"/>
      <c r="G2" s="368"/>
      <c r="H2" s="369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E14" sqref="E14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4" t="str">
        <f xml:space="preserve"> "CARAVANS &amp; CAMPERS PASSING THROUGH " &amp; Location</f>
        <v>CARAVANS &amp; CAMPERS PASSING THROUGH OODLA WIRRA</v>
      </c>
      <c r="C2" s="365"/>
      <c r="D2" s="365"/>
      <c r="E2" s="365"/>
      <c r="F2" s="365"/>
      <c r="G2" s="365"/>
      <c r="H2" s="365"/>
      <c r="I2" s="366"/>
    </row>
    <row r="3" spans="2:9" ht="18" thickBot="1" x14ac:dyDescent="0.3">
      <c r="B3" s="367" t="str">
        <f>Month &amp; " " &amp; Year</f>
        <v>July 2019</v>
      </c>
      <c r="C3" s="368"/>
      <c r="D3" s="368"/>
      <c r="E3" s="368"/>
      <c r="F3" s="368"/>
      <c r="G3" s="368"/>
      <c r="H3" s="368"/>
      <c r="I3" s="36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M13" sqref="M13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4" t="str">
        <f>"VEHICLES PASSING THROUGH " &amp; Location &amp; " - MIDNIGHT SHIFT "</f>
        <v xml:space="preserve">VEHICLES PASSING THROUGH OODLA WIRRA - MIDNIGHT SHIFT </v>
      </c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70"/>
    </row>
    <row r="3" spans="2:14" ht="16.2" thickBot="1" x14ac:dyDescent="0.3">
      <c r="B3" s="361" t="str">
        <f>Month &amp; " " &amp; Year</f>
        <v>July 2019</v>
      </c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3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B2:N65"/>
  <sheetViews>
    <sheetView showGridLines="0" showRowColHeaders="0" tabSelected="1" topLeftCell="A4" zoomScaleNormal="100" workbookViewId="0">
      <selection activeCell="G10" sqref="G10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80" t="str">
        <f>Location&amp;" - Traffic Volumes per Shift - "&amp; Month &amp; " " &amp; Year</f>
        <v>OODLA WIRRA - Traffic Volumes per Shift - July 2019</v>
      </c>
      <c r="D3" s="381"/>
      <c r="E3" s="381"/>
      <c r="F3" s="381"/>
      <c r="G3" s="381"/>
      <c r="H3" s="382"/>
      <c r="J3" s="377" t="s">
        <v>119</v>
      </c>
      <c r="K3" s="378"/>
      <c r="L3" s="378"/>
      <c r="M3" s="378"/>
      <c r="N3" s="379"/>
    </row>
    <row r="4" spans="2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2:14" ht="15" x14ac:dyDescent="0.25">
      <c r="B5" s="411" t="str">
        <f>TEXT(D5,"dddd")</f>
        <v>Monday</v>
      </c>
      <c r="C5" s="347">
        <v>1</v>
      </c>
      <c r="D5" s="349">
        <f>DATE(Year,MONTH(1&amp;Month),DateShiftStats)</f>
        <v>43647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>SUMIF($B$5:$B$35,$J5,E$5:E$35)</f>
        <v>0</v>
      </c>
      <c r="L5" s="328">
        <f>SUMIF($B$5:$B$35,$J5,F$5:F$35)</f>
        <v>0</v>
      </c>
      <c r="M5" s="329">
        <f>SUMIF($B$5:$B$35,$J5,G$5:G$35)</f>
        <v>0</v>
      </c>
      <c r="N5" s="330">
        <f>SUM(K5:M5)</f>
        <v>0</v>
      </c>
    </row>
    <row r="6" spans="2:14" ht="15" x14ac:dyDescent="0.25">
      <c r="B6" s="411" t="str">
        <f t="shared" ref="B6:B35" si="0">TEXT(D6,"dddd")</f>
        <v>Tuesday</v>
      </c>
      <c r="C6" s="347">
        <v>2</v>
      </c>
      <c r="D6" s="349">
        <f t="shared" ref="D5:D35" si="1">DATE(Year,MONTH(1&amp;Month),DateShiftStats)</f>
        <v>43648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28">
        <f t="shared" ref="K6:K11" si="3">SUMIF($B$5:$B$35,$J6,E$5:E$35)</f>
        <v>0</v>
      </c>
      <c r="L6" s="328">
        <f t="shared" ref="L6:L11" si="4">SUMIF($B$5:$B$35,$J6,F$5:F$35)</f>
        <v>0</v>
      </c>
      <c r="M6" s="329">
        <f t="shared" ref="M6:M11" si="5">SUMIF($B$5:$B$35,$J6,G$5:G$35)</f>
        <v>0</v>
      </c>
      <c r="N6" s="331">
        <f t="shared" ref="N6:N11" si="6">SUM(K6:M6)</f>
        <v>0</v>
      </c>
    </row>
    <row r="7" spans="2:14" ht="15" x14ac:dyDescent="0.25">
      <c r="B7" s="411" t="str">
        <f t="shared" si="0"/>
        <v>Wednesday</v>
      </c>
      <c r="C7" s="347">
        <v>3</v>
      </c>
      <c r="D7" s="349">
        <f t="shared" si="1"/>
        <v>43649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28">
        <f t="shared" si="3"/>
        <v>0</v>
      </c>
      <c r="L7" s="328">
        <f t="shared" si="4"/>
        <v>0</v>
      </c>
      <c r="M7" s="329">
        <f t="shared" si="5"/>
        <v>0</v>
      </c>
      <c r="N7" s="331">
        <f t="shared" si="6"/>
        <v>0</v>
      </c>
    </row>
    <row r="8" spans="2:14" ht="15" x14ac:dyDescent="0.25">
      <c r="B8" s="411" t="str">
        <f t="shared" si="0"/>
        <v>Thursday</v>
      </c>
      <c r="C8" s="347">
        <v>4</v>
      </c>
      <c r="D8" s="349">
        <f t="shared" si="1"/>
        <v>43650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28">
        <f t="shared" si="3"/>
        <v>0</v>
      </c>
      <c r="L8" s="328">
        <f t="shared" si="4"/>
        <v>0</v>
      </c>
      <c r="M8" s="329">
        <f t="shared" si="5"/>
        <v>0</v>
      </c>
      <c r="N8" s="331">
        <f t="shared" si="6"/>
        <v>0</v>
      </c>
    </row>
    <row r="9" spans="2:14" ht="15" x14ac:dyDescent="0.25">
      <c r="B9" s="411" t="str">
        <f t="shared" si="0"/>
        <v>Friday</v>
      </c>
      <c r="C9" s="347">
        <v>5</v>
      </c>
      <c r="D9" s="349">
        <f t="shared" si="1"/>
        <v>43651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28">
        <f t="shared" si="3"/>
        <v>0</v>
      </c>
      <c r="L9" s="328">
        <f t="shared" si="4"/>
        <v>0</v>
      </c>
      <c r="M9" s="329">
        <f t="shared" si="5"/>
        <v>0</v>
      </c>
      <c r="N9" s="331">
        <f t="shared" si="6"/>
        <v>0</v>
      </c>
    </row>
    <row r="10" spans="2:14" ht="15" x14ac:dyDescent="0.25">
      <c r="B10" s="411" t="str">
        <f t="shared" si="0"/>
        <v>Saturday</v>
      </c>
      <c r="C10" s="347">
        <v>6</v>
      </c>
      <c r="D10" s="349">
        <f t="shared" si="1"/>
        <v>43652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28">
        <f t="shared" si="3"/>
        <v>0</v>
      </c>
      <c r="L10" s="328">
        <f t="shared" si="4"/>
        <v>0</v>
      </c>
      <c r="M10" s="329">
        <f t="shared" si="5"/>
        <v>0</v>
      </c>
      <c r="N10" s="331">
        <f t="shared" si="6"/>
        <v>0</v>
      </c>
    </row>
    <row r="11" spans="2:14" ht="15.6" thickBot="1" x14ac:dyDescent="0.3">
      <c r="B11" s="411" t="str">
        <f t="shared" si="0"/>
        <v>Sunday</v>
      </c>
      <c r="C11" s="347">
        <v>7</v>
      </c>
      <c r="D11" s="349">
        <f t="shared" si="1"/>
        <v>43653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28">
        <f t="shared" si="3"/>
        <v>0</v>
      </c>
      <c r="L11" s="328">
        <f t="shared" si="4"/>
        <v>0</v>
      </c>
      <c r="M11" s="329">
        <f t="shared" si="5"/>
        <v>0</v>
      </c>
      <c r="N11" s="332">
        <f t="shared" si="6"/>
        <v>0</v>
      </c>
    </row>
    <row r="12" spans="2:14" ht="15.6" thickBot="1" x14ac:dyDescent="0.3">
      <c r="B12" s="411" t="str">
        <f t="shared" si="0"/>
        <v>Monday</v>
      </c>
      <c r="C12" s="347">
        <v>8</v>
      </c>
      <c r="D12" s="349">
        <f t="shared" si="1"/>
        <v>43654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3">
        <f>SUM(K5:K11)</f>
        <v>0</v>
      </c>
      <c r="L12" s="334">
        <f t="shared" ref="L12:M12" si="7">SUM(L5:L11)</f>
        <v>0</v>
      </c>
      <c r="M12" s="335">
        <f t="shared" si="7"/>
        <v>0</v>
      </c>
      <c r="N12" s="336">
        <f>SUM(K12:M12)</f>
        <v>0</v>
      </c>
    </row>
    <row r="13" spans="2:14" ht="15" x14ac:dyDescent="0.25">
      <c r="B13" s="411" t="str">
        <f t="shared" si="0"/>
        <v>Tuesday</v>
      </c>
      <c r="C13" s="347">
        <v>9</v>
      </c>
      <c r="D13" s="349">
        <f t="shared" si="1"/>
        <v>43655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2:14" ht="15" x14ac:dyDescent="0.25">
      <c r="B14" s="411" t="str">
        <f t="shared" si="0"/>
        <v>Wednesday</v>
      </c>
      <c r="C14" s="347">
        <v>10</v>
      </c>
      <c r="D14" s="349">
        <f t="shared" si="1"/>
        <v>43656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2:14" ht="15" x14ac:dyDescent="0.25">
      <c r="B15" s="411" t="str">
        <f t="shared" si="0"/>
        <v>Thursday</v>
      </c>
      <c r="C15" s="347">
        <v>11</v>
      </c>
      <c r="D15" s="349">
        <f t="shared" si="1"/>
        <v>43657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2:14" ht="15" x14ac:dyDescent="0.25">
      <c r="B16" s="411" t="str">
        <f t="shared" si="0"/>
        <v>Friday</v>
      </c>
      <c r="C16" s="347">
        <v>12</v>
      </c>
      <c r="D16" s="349">
        <f t="shared" si="1"/>
        <v>43658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2:14" ht="15" x14ac:dyDescent="0.25">
      <c r="B17" s="411" t="str">
        <f t="shared" si="0"/>
        <v>Saturday</v>
      </c>
      <c r="C17" s="347">
        <v>13</v>
      </c>
      <c r="D17" s="349">
        <f t="shared" si="1"/>
        <v>43659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2:14" ht="15" x14ac:dyDescent="0.25">
      <c r="B18" s="411" t="str">
        <f>TEXT(D18,"dddd")</f>
        <v>Sunday</v>
      </c>
      <c r="C18" s="347">
        <v>14</v>
      </c>
      <c r="D18" s="349">
        <f t="shared" si="1"/>
        <v>43660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2:14" ht="15" x14ac:dyDescent="0.25">
      <c r="B19" s="411" t="str">
        <f t="shared" si="0"/>
        <v>Monday</v>
      </c>
      <c r="C19" s="347">
        <v>15</v>
      </c>
      <c r="D19" s="349">
        <f t="shared" si="1"/>
        <v>43661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2:14" ht="15" x14ac:dyDescent="0.25">
      <c r="B20" s="411" t="str">
        <f t="shared" si="0"/>
        <v>Tuesday</v>
      </c>
      <c r="C20" s="347">
        <v>16</v>
      </c>
      <c r="D20" s="349">
        <f t="shared" si="1"/>
        <v>43662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2:14" ht="15" x14ac:dyDescent="0.25">
      <c r="B21" s="411" t="str">
        <f t="shared" si="0"/>
        <v>Wednesday</v>
      </c>
      <c r="C21" s="347">
        <v>17</v>
      </c>
      <c r="D21" s="349">
        <f t="shared" si="1"/>
        <v>43663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2:14" ht="15" x14ac:dyDescent="0.25">
      <c r="B22" s="411" t="str">
        <f t="shared" si="0"/>
        <v>Thursday</v>
      </c>
      <c r="C22" s="347">
        <v>18</v>
      </c>
      <c r="D22" s="349">
        <f t="shared" si="1"/>
        <v>43664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2:14" ht="15" x14ac:dyDescent="0.25">
      <c r="B23" s="411" t="str">
        <f t="shared" si="0"/>
        <v>Friday</v>
      </c>
      <c r="C23" s="347">
        <v>19</v>
      </c>
      <c r="D23" s="349">
        <f t="shared" si="1"/>
        <v>43665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2:14" ht="15" x14ac:dyDescent="0.25">
      <c r="B24" s="411" t="str">
        <f t="shared" si="0"/>
        <v>Saturday</v>
      </c>
      <c r="C24" s="347">
        <v>20</v>
      </c>
      <c r="D24" s="349">
        <f t="shared" si="1"/>
        <v>43666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2:14" ht="15" x14ac:dyDescent="0.25">
      <c r="B25" s="411" t="str">
        <f t="shared" si="0"/>
        <v>Sunday</v>
      </c>
      <c r="C25" s="347">
        <v>21</v>
      </c>
      <c r="D25" s="349">
        <f t="shared" si="1"/>
        <v>43667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2:14" ht="15.6" thickBot="1" x14ac:dyDescent="0.3">
      <c r="B26" s="411" t="str">
        <f t="shared" si="0"/>
        <v>Monday</v>
      </c>
      <c r="C26" s="347">
        <v>22</v>
      </c>
      <c r="D26" s="349">
        <f t="shared" si="1"/>
        <v>43668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2:14" ht="16.5" customHeight="1" x14ac:dyDescent="0.25">
      <c r="B27" s="411" t="str">
        <f>TEXT(D27,"dddd")</f>
        <v>Tuesday</v>
      </c>
      <c r="C27" s="347">
        <v>23</v>
      </c>
      <c r="D27" s="349">
        <f t="shared" si="1"/>
        <v>43669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1" t="s">
        <v>121</v>
      </c>
      <c r="K27" s="372"/>
      <c r="L27" s="372"/>
      <c r="M27" s="372"/>
      <c r="N27" s="373"/>
    </row>
    <row r="28" spans="2:14" ht="16.5" customHeight="1" thickBot="1" x14ac:dyDescent="0.3">
      <c r="B28" s="411" t="str">
        <f t="shared" si="0"/>
        <v>Wednesday</v>
      </c>
      <c r="C28" s="347">
        <v>24</v>
      </c>
      <c r="D28" s="349">
        <f t="shared" si="1"/>
        <v>43670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74"/>
      <c r="K28" s="375"/>
      <c r="L28" s="375"/>
      <c r="M28" s="375"/>
      <c r="N28" s="376"/>
    </row>
    <row r="29" spans="2:14" ht="15.75" customHeight="1" thickBot="1" x14ac:dyDescent="0.3">
      <c r="B29" s="411" t="str">
        <f t="shared" si="0"/>
        <v>Thursday</v>
      </c>
      <c r="C29" s="347">
        <v>25</v>
      </c>
      <c r="D29" s="349">
        <f t="shared" si="1"/>
        <v>43671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2:14" ht="16.2" thickBot="1" x14ac:dyDescent="0.35">
      <c r="B30" s="411" t="str">
        <f t="shared" si="0"/>
        <v>Friday</v>
      </c>
      <c r="C30" s="347">
        <v>26</v>
      </c>
      <c r="D30" s="349">
        <f t="shared" si="1"/>
        <v>43672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38" t="s">
        <v>112</v>
      </c>
      <c r="K30" s="341">
        <f>AVERAGEIF($B$5:$B$35,J30,E$5:E$35)</f>
        <v>0</v>
      </c>
      <c r="L30" s="337">
        <f>AVERAGEIF($B$5:$B$35,J30,F$5:F$35)</f>
        <v>0</v>
      </c>
      <c r="M30" s="337">
        <f>AVERAGEIF($B$5:$B$35,J30,G$5:G$35)</f>
        <v>0</v>
      </c>
      <c r="N30" s="343">
        <f>AVERAGE(K30:M30)</f>
        <v>0</v>
      </c>
    </row>
    <row r="31" spans="2:14" ht="16.2" thickBot="1" x14ac:dyDescent="0.35">
      <c r="B31" s="411" t="str">
        <f t="shared" si="0"/>
        <v>Saturday</v>
      </c>
      <c r="C31" s="347">
        <v>27</v>
      </c>
      <c r="D31" s="349">
        <f t="shared" si="1"/>
        <v>43673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39" t="s">
        <v>113</v>
      </c>
      <c r="K31" s="341">
        <f t="shared" ref="K31:K36" si="8">AVERAGEIF($B$5:$B$35,J31,E$5:E$35)</f>
        <v>0</v>
      </c>
      <c r="L31" s="337">
        <f t="shared" ref="L31:L36" si="9">AVERAGEIF($B$5:$B$35,J31,F$5:F$35)</f>
        <v>0</v>
      </c>
      <c r="M31" s="337">
        <f t="shared" ref="M31:M36" si="10">AVERAGEIF($B$5:$B$35,J31,G$5:G$35)</f>
        <v>0</v>
      </c>
      <c r="N31" s="344">
        <f>AVERAGE(K31:M31)</f>
        <v>0</v>
      </c>
    </row>
    <row r="32" spans="2:14" ht="16.2" thickBot="1" x14ac:dyDescent="0.35">
      <c r="B32" s="411" t="str">
        <f t="shared" si="0"/>
        <v>Sunday</v>
      </c>
      <c r="C32" s="347">
        <v>28</v>
      </c>
      <c r="D32" s="349">
        <f t="shared" si="1"/>
        <v>43674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39" t="s">
        <v>114</v>
      </c>
      <c r="K32" s="341">
        <f t="shared" si="8"/>
        <v>0</v>
      </c>
      <c r="L32" s="337">
        <f t="shared" si="9"/>
        <v>0</v>
      </c>
      <c r="M32" s="337">
        <f t="shared" si="10"/>
        <v>0</v>
      </c>
      <c r="N32" s="344">
        <f t="shared" ref="N32:N36" si="11">AVERAGE(K32:M32)</f>
        <v>0</v>
      </c>
    </row>
    <row r="33" spans="2:14" ht="16.2" thickBot="1" x14ac:dyDescent="0.35">
      <c r="B33" s="411" t="str">
        <f t="shared" si="0"/>
        <v>Monday</v>
      </c>
      <c r="C33" s="347">
        <v>29</v>
      </c>
      <c r="D33" s="349">
        <f t="shared" si="1"/>
        <v>43675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39" t="s">
        <v>115</v>
      </c>
      <c r="K33" s="341">
        <f t="shared" si="8"/>
        <v>0</v>
      </c>
      <c r="L33" s="337">
        <f t="shared" si="9"/>
        <v>0</v>
      </c>
      <c r="M33" s="337">
        <f t="shared" si="10"/>
        <v>0</v>
      </c>
      <c r="N33" s="344">
        <f t="shared" si="11"/>
        <v>0</v>
      </c>
    </row>
    <row r="34" spans="2:14" ht="16.2" thickBot="1" x14ac:dyDescent="0.35">
      <c r="B34" s="411" t="str">
        <f t="shared" si="0"/>
        <v>Tuesday</v>
      </c>
      <c r="C34" s="347">
        <v>30</v>
      </c>
      <c r="D34" s="349">
        <f t="shared" si="1"/>
        <v>43676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39" t="s">
        <v>116</v>
      </c>
      <c r="K34" s="341">
        <f t="shared" si="8"/>
        <v>0</v>
      </c>
      <c r="L34" s="337">
        <f t="shared" si="9"/>
        <v>0</v>
      </c>
      <c r="M34" s="337">
        <f t="shared" si="10"/>
        <v>0</v>
      </c>
      <c r="N34" s="344">
        <f t="shared" si="11"/>
        <v>0</v>
      </c>
    </row>
    <row r="35" spans="2:14" ht="16.2" thickBot="1" x14ac:dyDescent="0.35">
      <c r="B35" s="411" t="str">
        <f t="shared" si="0"/>
        <v>Wednesday</v>
      </c>
      <c r="C35" s="348">
        <v>31</v>
      </c>
      <c r="D35" s="349">
        <f t="shared" si="1"/>
        <v>43677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39" t="s">
        <v>117</v>
      </c>
      <c r="K35" s="341">
        <f t="shared" si="8"/>
        <v>0</v>
      </c>
      <c r="L35" s="337">
        <f t="shared" si="9"/>
        <v>0</v>
      </c>
      <c r="M35" s="337">
        <f t="shared" si="10"/>
        <v>0</v>
      </c>
      <c r="N35" s="344">
        <f t="shared" si="11"/>
        <v>0</v>
      </c>
    </row>
    <row r="36" spans="2:14" ht="16.5" customHeight="1" thickBot="1" x14ac:dyDescent="0.35">
      <c r="C36" s="383" t="s">
        <v>124</v>
      </c>
      <c r="D36" s="384"/>
      <c r="E36" s="286">
        <f>SUM(E5:E35)</f>
        <v>0</v>
      </c>
      <c r="F36" s="287">
        <f t="shared" ref="F36:H36" si="12">SUM(F5:F35)</f>
        <v>0</v>
      </c>
      <c r="G36" s="288">
        <f t="shared" si="12"/>
        <v>0</v>
      </c>
      <c r="H36" s="289">
        <f t="shared" si="12"/>
        <v>0</v>
      </c>
      <c r="J36" s="340" t="s">
        <v>118</v>
      </c>
      <c r="K36" s="341">
        <f t="shared" si="8"/>
        <v>0</v>
      </c>
      <c r="L36" s="337">
        <f t="shared" si="9"/>
        <v>0</v>
      </c>
      <c r="M36" s="337">
        <f t="shared" si="10"/>
        <v>0</v>
      </c>
      <c r="N36" s="344">
        <f t="shared" si="11"/>
        <v>0</v>
      </c>
    </row>
    <row r="37" spans="2:14" ht="16.5" customHeight="1" thickBot="1" x14ac:dyDescent="0.35">
      <c r="D37" s="270"/>
      <c r="J37" s="342" t="s">
        <v>122</v>
      </c>
      <c r="K37" s="346">
        <f>AVERAGE(K30:K36)</f>
        <v>0</v>
      </c>
      <c r="L37" s="346">
        <f t="shared" ref="L37:M37" si="13">AVERAGE(L30:L36)</f>
        <v>0</v>
      </c>
      <c r="M37" s="346">
        <f t="shared" si="13"/>
        <v>0</v>
      </c>
      <c r="N37" s="345"/>
    </row>
    <row r="38" spans="2:14" ht="16.5" customHeight="1" x14ac:dyDescent="0.25">
      <c r="D38" s="270"/>
    </row>
    <row r="39" spans="2:14" ht="16.5" customHeight="1" x14ac:dyDescent="0.25">
      <c r="D39" s="270"/>
    </row>
    <row r="40" spans="2:14" ht="16.5" customHeight="1" x14ac:dyDescent="0.25">
      <c r="D40" s="270"/>
    </row>
    <row r="41" spans="2:14" ht="16.5" customHeight="1" x14ac:dyDescent="0.25">
      <c r="D41" s="270"/>
    </row>
    <row r="42" spans="2:14" ht="16.5" customHeight="1" x14ac:dyDescent="0.25">
      <c r="D42" s="270"/>
    </row>
    <row r="43" spans="2:14" ht="16.5" customHeight="1" x14ac:dyDescent="0.25">
      <c r="D43" s="270"/>
    </row>
    <row r="44" spans="2:14" ht="16.5" customHeight="1" x14ac:dyDescent="0.25">
      <c r="D44" s="270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topLeftCell="A22" zoomScale="85" zoomScaleNormal="85" workbookViewId="0">
      <selection activeCell="I10" sqref="I10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5" t="str">
        <f xml:space="preserve"> "VEHICLES WITH FRUIT PASSING THROUGH " &amp; Location</f>
        <v>VEHICLES WITH FRUIT PASSING THROUGH OODLA WIRRA</v>
      </c>
      <c r="D2" s="386"/>
      <c r="E2" s="386"/>
      <c r="F2" s="386"/>
      <c r="G2" s="386"/>
      <c r="H2" s="386"/>
      <c r="I2" s="386"/>
      <c r="J2" s="387"/>
    </row>
    <row r="3" spans="3:10" ht="16.2" thickBot="1" x14ac:dyDescent="0.3">
      <c r="C3" s="388" t="str">
        <f>Month &amp; " " &amp; Year</f>
        <v>July 2019</v>
      </c>
      <c r="D3" s="389"/>
      <c r="E3" s="389"/>
      <c r="F3" s="389"/>
      <c r="G3" s="389"/>
      <c r="H3" s="389"/>
      <c r="I3" s="389"/>
      <c r="J3" s="390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1" t="s">
        <v>86</v>
      </c>
      <c r="D22" s="392"/>
      <c r="E22" s="392"/>
      <c r="F22" s="392"/>
      <c r="G22" s="393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Q4" sqref="Q4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43677</v>
      </c>
      <c r="K52" s="248" t="s">
        <v>106</v>
      </c>
      <c r="L52" s="249">
        <f>COUNTIF(ShiftStats,"&gt;199")</f>
        <v>31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94"/>
      <c r="E58" s="395"/>
      <c r="F58" s="395"/>
      <c r="G58" s="395"/>
      <c r="H58" s="395"/>
      <c r="I58" s="395"/>
      <c r="J58" s="395"/>
      <c r="K58" s="395"/>
      <c r="L58" s="396"/>
    </row>
    <row r="59" spans="3:13" x14ac:dyDescent="0.25">
      <c r="D59" s="397"/>
      <c r="E59" s="398"/>
      <c r="F59" s="398"/>
      <c r="G59" s="398"/>
      <c r="H59" s="398"/>
      <c r="I59" s="398"/>
      <c r="J59" s="398"/>
      <c r="K59" s="398"/>
      <c r="L59" s="399"/>
    </row>
    <row r="60" spans="3:13" x14ac:dyDescent="0.25">
      <c r="D60" s="397"/>
      <c r="E60" s="398"/>
      <c r="F60" s="398"/>
      <c r="G60" s="398"/>
      <c r="H60" s="398"/>
      <c r="I60" s="398"/>
      <c r="J60" s="398"/>
      <c r="K60" s="398"/>
      <c r="L60" s="399"/>
    </row>
    <row r="61" spans="3:13" x14ac:dyDescent="0.25">
      <c r="D61" s="397"/>
      <c r="E61" s="398"/>
      <c r="F61" s="398"/>
      <c r="G61" s="398"/>
      <c r="H61" s="398"/>
      <c r="I61" s="398"/>
      <c r="J61" s="398"/>
      <c r="K61" s="398"/>
      <c r="L61" s="399"/>
    </row>
    <row r="62" spans="3:13" x14ac:dyDescent="0.25">
      <c r="D62" s="397"/>
      <c r="E62" s="398"/>
      <c r="F62" s="398"/>
      <c r="G62" s="398"/>
      <c r="H62" s="398"/>
      <c r="I62" s="398"/>
      <c r="J62" s="398"/>
      <c r="K62" s="398"/>
      <c r="L62" s="399"/>
    </row>
    <row r="63" spans="3:13" x14ac:dyDescent="0.25">
      <c r="D63" s="397"/>
      <c r="E63" s="398"/>
      <c r="F63" s="398"/>
      <c r="G63" s="398"/>
      <c r="H63" s="398"/>
      <c r="I63" s="398"/>
      <c r="J63" s="398"/>
      <c r="K63" s="398"/>
      <c r="L63" s="399"/>
    </row>
    <row r="64" spans="3:13" x14ac:dyDescent="0.25">
      <c r="D64" s="397"/>
      <c r="E64" s="398"/>
      <c r="F64" s="398"/>
      <c r="G64" s="398"/>
      <c r="H64" s="398"/>
      <c r="I64" s="398"/>
      <c r="J64" s="398"/>
      <c r="K64" s="398"/>
      <c r="L64" s="399"/>
    </row>
    <row r="65" spans="3:13" x14ac:dyDescent="0.25">
      <c r="D65" s="397"/>
      <c r="E65" s="398"/>
      <c r="F65" s="398"/>
      <c r="G65" s="398"/>
      <c r="H65" s="398"/>
      <c r="I65" s="398"/>
      <c r="J65" s="398"/>
      <c r="K65" s="398"/>
      <c r="L65" s="399"/>
    </row>
    <row r="66" spans="3:13" x14ac:dyDescent="0.25">
      <c r="D66" s="397"/>
      <c r="E66" s="398"/>
      <c r="F66" s="398"/>
      <c r="G66" s="398"/>
      <c r="H66" s="398"/>
      <c r="I66" s="398"/>
      <c r="J66" s="398"/>
      <c r="K66" s="398"/>
      <c r="L66" s="399"/>
    </row>
    <row r="67" spans="3:13" x14ac:dyDescent="0.25">
      <c r="D67" s="397"/>
      <c r="E67" s="398"/>
      <c r="F67" s="398"/>
      <c r="G67" s="398"/>
      <c r="H67" s="398"/>
      <c r="I67" s="398"/>
      <c r="J67" s="398"/>
      <c r="K67" s="398"/>
      <c r="L67" s="399"/>
    </row>
    <row r="68" spans="3:13" ht="13.8" thickBot="1" x14ac:dyDescent="0.3">
      <c r="D68" s="400"/>
      <c r="E68" s="401"/>
      <c r="F68" s="401"/>
      <c r="G68" s="401"/>
      <c r="H68" s="401"/>
      <c r="I68" s="401"/>
      <c r="J68" s="401"/>
      <c r="K68" s="401"/>
      <c r="L68" s="402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407" t="s">
        <v>56</v>
      </c>
      <c r="H23" s="214" t="str">
        <f>TEXT(DATEVALUE(Day &amp; ", " &amp; Month &amp; ", " &amp; Year), "ddd, dd mmm, yyyy")</f>
        <v>Wed, 03 Jul, 2019</v>
      </c>
      <c r="I23" s="214"/>
      <c r="J23" s="214" t="str">
        <f>"Page " &amp; IF(chkNights = TRUE, (Day * 3) -2)</f>
        <v>Page 7</v>
      </c>
    </row>
    <row r="24" spans="1:86" ht="6" customHeight="1" thickBot="1" x14ac:dyDescent="0.3">
      <c r="D24" s="408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403" t="s">
        <v>57</v>
      </c>
      <c r="H41" s="212" t="str">
        <f>TEXT(DATEVALUE(Day &amp; ", " &amp; Month &amp; ", " &amp; Year), "ddd, dd mmm, yyyy")</f>
        <v>Wed, 03 Jul, 2019</v>
      </c>
      <c r="I41" s="212"/>
      <c r="J41" s="212" t="str">
        <f>"Page " &amp; IF(chkNights = TRUE, (Day * 3) - 1,IF(chkAfternoons = TRUE,(Day * 2) -1, Day))</f>
        <v>Page 8</v>
      </c>
    </row>
    <row r="42" spans="4:11" ht="6" customHeight="1" thickBot="1" x14ac:dyDescent="0.3">
      <c r="D42" s="404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05" t="s">
        <v>58</v>
      </c>
      <c r="H59" s="213" t="str">
        <f>TEXT(DATEVALUE(Day &amp; ", " &amp; Month &amp; ", " &amp; Year), "ddd, dd mmm yyyy")</f>
        <v>Wed, 03 Jul 2019</v>
      </c>
      <c r="I59" s="213"/>
      <c r="J59" s="213" t="str">
        <f>"Page " &amp; IF(chkNights = TRUE, (Day * 3), Day * 2)</f>
        <v>Page 9</v>
      </c>
    </row>
    <row r="60" spans="4:11" ht="9" customHeight="1" thickBot="1" x14ac:dyDescent="0.3">
      <c r="D60" s="406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09" t="s">
        <v>65</v>
      </c>
      <c r="E4" s="41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2019-08-01T01:19:42Z</dcterms:modified>
</cp:coreProperties>
</file>