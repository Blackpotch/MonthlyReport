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C:\Stumpers\PIRSA\DEV\MonthlyReport\"/>
    </mc:Choice>
  </mc:AlternateContent>
  <bookViews>
    <workbookView xWindow="132" yWindow="12" windowWidth="9420" windowHeight="4752" tabRatio="689" firstSheet="6" activeTab="12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r:id="rId10"/>
    <sheet name="Stock Totals" sheetId="10" r:id="rId11"/>
    <sheet name="Summary" sheetId="11" r:id="rId12"/>
    <sheet name="Data Input" sheetId="13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Stats'!$C$5:$C$35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EXShiftStats">'Shift Stats'!$D$5:$G$35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Stats'!$D$3:$H$36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tats">'Shift Stats'!$D$5:$G$35</definedName>
    <definedName name="ShiftStatsTotal">'Shift Stats'!$H$5:$H$35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InputTotals" guid="{9679493F-7CDF-46D6-BE72-B12FE11A478F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NightShift" guid="{E9A9889A-61F5-47D0-A5C6-BF43493EDD61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D10" i="16" l="1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7" i="16"/>
  <c r="D8" i="16"/>
  <c r="D9" i="16"/>
  <c r="D6" i="16"/>
  <c r="D5" i="16"/>
  <c r="I52" i="11" l="1"/>
  <c r="C3" i="16" l="1"/>
  <c r="M9" i="16" l="1"/>
  <c r="L10" i="16" l="1"/>
  <c r="M10" i="16"/>
  <c r="K5" i="16"/>
  <c r="L9" i="16"/>
  <c r="M31" i="16"/>
  <c r="M32" i="16"/>
  <c r="L34" i="16"/>
  <c r="K34" i="16"/>
  <c r="L35" i="16"/>
  <c r="M33" i="16"/>
  <c r="M34" i="16"/>
  <c r="L36" i="16"/>
  <c r="K36" i="16"/>
  <c r="L30" i="16"/>
  <c r="M35" i="16"/>
  <c r="M30" i="16"/>
  <c r="K30" i="16"/>
  <c r="K33" i="16"/>
  <c r="M36" i="16"/>
  <c r="K35" i="16"/>
  <c r="L31" i="16"/>
  <c r="K31" i="16"/>
  <c r="K32" i="16"/>
  <c r="L33" i="16"/>
  <c r="L32" i="16"/>
  <c r="K11" i="16"/>
  <c r="L7" i="16"/>
  <c r="M8" i="16"/>
  <c r="K10" i="16"/>
  <c r="L6" i="16"/>
  <c r="M7" i="16"/>
  <c r="K9" i="16"/>
  <c r="N9" i="16" s="1"/>
  <c r="L8" i="16"/>
  <c r="M6" i="16"/>
  <c r="K8" i="16"/>
  <c r="L11" i="16"/>
  <c r="M11" i="16"/>
  <c r="K7" i="16"/>
  <c r="L5" i="16"/>
  <c r="K6" i="16"/>
  <c r="M5" i="16"/>
  <c r="N5" i="16" l="1"/>
  <c r="N7" i="16"/>
  <c r="N10" i="16"/>
  <c r="L12" i="16"/>
  <c r="N35" i="16"/>
  <c r="N8" i="16"/>
  <c r="N32" i="16"/>
  <c r="N6" i="16"/>
  <c r="N11" i="16"/>
  <c r="N33" i="16"/>
  <c r="M12" i="16"/>
  <c r="M37" i="16"/>
  <c r="N34" i="16"/>
  <c r="K12" i="16"/>
  <c r="N31" i="16"/>
  <c r="L37" i="16"/>
  <c r="N36" i="16"/>
  <c r="N30" i="16"/>
  <c r="K37" i="16"/>
  <c r="F70" i="13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N12" i="16" l="1"/>
  <c r="F35" i="13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L16" i="11" s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L52" i="11"/>
  <c r="F36" i="16" l="1"/>
  <c r="G36" i="16"/>
  <c r="E36" i="16"/>
  <c r="H3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5" i="16"/>
  <c r="F52" i="11" l="1"/>
  <c r="H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32" i="1" l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L12" i="11" s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<sst xmlns="http://schemas.openxmlformats.org/spreadsheetml/2006/main" count="279" uniqueCount="126">
  <si>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</si>
  <si>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</si>
  <si>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</si>
  <si>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</si>
  <si>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</si>
  <si>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</si>
  <si>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</si>
  <si>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</si>
  <si>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</si>
  <si>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</si>
  <si>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</si>
  <si>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</si>
  <si>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</si>
  <si>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</si>
  <si>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</si>
  <si>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</si>
  <si>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</si>
  <si>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</si>
  <si>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</si>
  <si>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</si>
  <si>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</si>
  <si>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</si>
  <si>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</si>
  <si>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</si>
  <si>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</si>
  <si>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</si>
  <si>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</si>
  <si>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</si>
  <si>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</si>
  <si>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</si>
  <si>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</si>
  <si>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</si>
  <si>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</si>
  <si>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</si>
  <si>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</si>
  <si>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</si>
  <si>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</si>
  <si>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</si>
  <si>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</si>
  <si>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</si>
  <si>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</si>
  <si>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</si>
  <si>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</si>
  <si>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</si>
  <si>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</si>
  <si>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</si>
  <si>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</si>
  <si>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</si>
  <si>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</si>
  <si>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</si>
  <si>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</si>
  <si>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</si>
  <si>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</si>
  <si>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</si>
  <si>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</si>
  <si>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</si>
  <si>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</si>
  <si>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</si>
  <si>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</si>
  <si>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</si>
  <si>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</si>
  <si>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</si>
  <si>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</si>
  <si>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</si>
  <si>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</si>
  <si>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</si>
  <si>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</si>
  <si>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</si>
  <si>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</si>
  <si>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</si>
  <si>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</si>
  <si>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</si>
  <si>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</si>
  <si>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</si>
  <si>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</si>
  <si>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</si>
  <si>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</si>
  <si>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</si>
  <si>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</si>
  <si>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</si>
  <si>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</si>
  <si>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</si>
  <si>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</si>
  <si>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</si>
  <si>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</si>
  <si>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</si>
  <si>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</si>
  <si>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</si>
  <si>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</si>
  <si>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</si>
  <si>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</si>
  <si>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</si>
  <si>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</si>
  <si>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</si>
  <si>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</si>
  <si>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</si>
  <si>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</si>
  <si>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</si>
  <si>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</si>
  <si>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</si>
  <si>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</si>
  <si>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</si>
  <si>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Day Name</t>
  </si>
  <si>
    <t>Traffic Volumes</t>
  </si>
  <si>
    <t>Busiest Day:</t>
  </si>
  <si>
    <t>Busiest Shift:</t>
  </si>
  <si>
    <t>Shifts Over 200:</t>
  </si>
  <si>
    <t>Caravans</t>
  </si>
  <si>
    <t>Total No. of Caravans &amp; Campers:</t>
  </si>
  <si>
    <t>Total Caravans &amp; Campers:</t>
  </si>
  <si>
    <t>CARAVANS
&amp;
CAMPERS</t>
  </si>
  <si>
    <t>TOTAL
VEHICLES</t>
  </si>
  <si>
    <t>Sunday</t>
  </si>
  <si>
    <t>Monday</t>
  </si>
  <si>
    <t>Tuesday</t>
  </si>
  <si>
    <t>Wednesday</t>
  </si>
  <si>
    <t>Thursday</t>
  </si>
  <si>
    <t>Friday</t>
  </si>
  <si>
    <t>Saturday</t>
  </si>
  <si>
    <t>Totals by Weekday</t>
  </si>
  <si>
    <t>Totals</t>
  </si>
  <si>
    <t>Averages By Weekday (rounded down)</t>
  </si>
  <si>
    <t>Averages</t>
  </si>
  <si>
    <t>OODLA WIRRA</t>
  </si>
  <si>
    <t>Totals:</t>
  </si>
  <si>
    <t>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</si>
</sst>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  <font>
      <sz val="12"/>
      <color theme="1"/>
      <name val="Arial"/>
      <family val="2"/>
    </font>
    <font>
      <b/>
      <sz val="16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  <fill>
      <patternFill patternType="solid">
        <fgColor theme="8" tint="0.79998168889431442"/>
        <bgColor theme="0"/>
      </patternFill>
    </fill>
  </fills>
  <borders count="1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419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87" xfId="0" applyFont="1" applyFill="1" applyBorder="1" applyAlignment="1">
      <alignment horizontal="center" vertical="center"/>
    </xf>
    <xf numFmtId="0" fontId="22" fillId="27" borderId="88" xfId="0" applyFont="1" applyFill="1" applyBorder="1" applyAlignment="1">
      <alignment horizontal="center" vertical="center"/>
    </xf>
    <xf numFmtId="0" fontId="16" fillId="28" borderId="90" xfId="0" applyFont="1" applyFill="1" applyBorder="1"/>
    <xf numFmtId="0" fontId="16" fillId="28" borderId="91" xfId="0" applyFont="1" applyFill="1" applyBorder="1"/>
    <xf numFmtId="0" fontId="16" fillId="28" borderId="92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87" xfId="0" applyFont="1" applyFill="1" applyBorder="1"/>
    <xf numFmtId="0" fontId="9" fillId="29" borderId="94" xfId="0" applyFont="1" applyFill="1" applyBorder="1"/>
    <xf numFmtId="0" fontId="9" fillId="28" borderId="1" xfId="0" applyFont="1" applyFill="1" applyBorder="1"/>
    <xf numFmtId="0" fontId="0" fillId="0" borderId="93" xfId="0" applyBorder="1"/>
    <xf numFmtId="0" fontId="16" fillId="0" borderId="93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95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96" xfId="0" applyFont="1" applyBorder="1" applyAlignment="1" applyProtection="1">
      <alignment horizontal="center"/>
      <protection locked="0"/>
    </xf>
    <xf numFmtId="0" fontId="16" fillId="0" borderId="9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98" xfId="0" applyFont="1" applyBorder="1" applyAlignment="1" applyProtection="1">
      <alignment horizontal="center"/>
      <protection hidden="1"/>
    </xf>
    <xf numFmtId="0" fontId="9" fillId="0" borderId="99" xfId="0" applyFont="1" applyBorder="1" applyAlignment="1" applyProtection="1">
      <alignment horizontal="center"/>
      <protection hidden="1"/>
    </xf>
    <xf numFmtId="0" fontId="16" fillId="0" borderId="100" xfId="0" applyFont="1" applyBorder="1" applyAlignment="1" applyProtection="1">
      <alignment horizontal="center"/>
      <protection locked="0"/>
    </xf>
    <xf numFmtId="0" fontId="35" fillId="21" borderId="103" xfId="0" applyFont="1" applyFill="1" applyBorder="1"/>
    <xf numFmtId="0" fontId="35" fillId="21" borderId="35" xfId="0" applyFont="1" applyFill="1" applyBorder="1"/>
    <xf numFmtId="0" fontId="35" fillId="21" borderId="84" xfId="0" applyFont="1" applyFill="1" applyBorder="1"/>
    <xf numFmtId="0" fontId="18" fillId="21" borderId="50" xfId="0" applyFont="1" applyFill="1" applyBorder="1"/>
    <xf numFmtId="0" fontId="35" fillId="21" borderId="50" xfId="0" applyFont="1" applyFill="1" applyBorder="1"/>
    <xf numFmtId="0" fontId="22" fillId="30" borderId="87" xfId="0" applyFont="1" applyFill="1" applyBorder="1" applyAlignment="1">
      <alignment horizontal="center" vertical="center"/>
    </xf>
    <xf numFmtId="0" fontId="22" fillId="30" borderId="88" xfId="0" applyFont="1" applyFill="1" applyBorder="1" applyAlignment="1">
      <alignment horizontal="center" vertical="center"/>
    </xf>
    <xf numFmtId="0" fontId="6" fillId="0" borderId="36" xfId="0" applyFont="1" applyBorder="1"/>
    <xf numFmtId="0" fontId="6" fillId="0" borderId="37" xfId="0" applyFont="1" applyBorder="1"/>
    <xf numFmtId="0" fontId="18" fillId="0" borderId="107" xfId="0" applyFont="1" applyBorder="1"/>
    <xf numFmtId="0" fontId="6" fillId="0" borderId="101" xfId="0" applyFont="1" applyBorder="1"/>
    <xf numFmtId="0" fontId="6" fillId="0" borderId="102" xfId="0" applyFont="1" applyBorder="1"/>
    <xf numFmtId="0" fontId="18" fillId="0" borderId="104" xfId="0" applyFont="1" applyBorder="1"/>
    <xf numFmtId="0" fontId="6" fillId="0" borderId="85" xfId="0" applyFont="1" applyBorder="1"/>
    <xf numFmtId="0" fontId="6" fillId="0" borderId="105" xfId="0" applyFont="1" applyBorder="1"/>
    <xf numFmtId="0" fontId="18" fillId="0" borderId="106" xfId="0" applyFont="1" applyBorder="1"/>
    <xf numFmtId="0" fontId="18" fillId="0" borderId="89" xfId="0" applyFont="1" applyBorder="1"/>
    <xf numFmtId="0" fontId="18" fillId="0" borderId="87" xfId="0" applyFont="1" applyBorder="1"/>
    <xf numFmtId="0" fontId="18" fillId="0" borderId="88" xfId="0" applyFont="1" applyBorder="1"/>
    <xf numFmtId="0" fontId="18" fillId="0" borderId="1" xfId="0" applyFont="1" applyBorder="1"/>
    <xf numFmtId="1" fontId="16" fillId="0" borderId="9" xfId="0" applyNumberFormat="1" applyFont="1" applyBorder="1"/>
    <xf numFmtId="1" fontId="16" fillId="0" borderId="101" xfId="0" applyNumberFormat="1" applyFont="1" applyBorder="1"/>
    <xf numFmtId="0" fontId="35" fillId="21" borderId="108" xfId="0" applyFont="1" applyFill="1" applyBorder="1"/>
    <xf numFmtId="0" fontId="35" fillId="21" borderId="109" xfId="0" applyFont="1" applyFill="1" applyBorder="1"/>
    <xf numFmtId="0" fontId="35" fillId="21" borderId="110" xfId="0" applyFont="1" applyFill="1" applyBorder="1"/>
    <xf numFmtId="1" fontId="16" fillId="0" borderId="2" xfId="0" applyNumberFormat="1" applyFont="1" applyBorder="1"/>
    <xf numFmtId="1" fontId="16" fillId="0" borderId="103" xfId="0" applyNumberFormat="1" applyFont="1" applyBorder="1"/>
    <xf numFmtId="1" fontId="16" fillId="0" borderId="6" xfId="0" applyNumberFormat="1" applyFont="1" applyBorder="1"/>
    <xf numFmtId="1" fontId="16" fillId="0" borderId="7" xfId="0" applyNumberFormat="1" applyFont="1" applyBorder="1"/>
    <xf numFmtId="0" fontId="9" fillId="0" borderId="50" xfId="0" applyFont="1" applyBorder="1"/>
    <xf numFmtId="1" fontId="9" fillId="0" borderId="3" xfId="0" applyNumberFormat="1" applyFont="1" applyBorder="1"/>
    <xf numFmtId="1" fontId="9" fillId="0" borderId="83" xfId="0" applyNumberFormat="1" applyFont="1" applyBorder="1"/>
    <xf numFmtId="1" fontId="9" fillId="0" borderId="88" xfId="0" applyNumberFormat="1" applyFont="1" applyBorder="1"/>
    <xf numFmtId="1" fontId="9" fillId="0" borderId="87" xfId="0" applyNumberFormat="1" applyFont="1" applyBorder="1"/>
    <xf numFmtId="1" fontId="16" fillId="27" borderId="35" xfId="0" applyNumberFormat="1" applyFont="1" applyFill="1" applyBorder="1"/>
    <xf numFmtId="1" fontId="16" fillId="27" borderId="111" xfId="0" applyNumberFormat="1" applyFont="1" applyFill="1" applyBorder="1"/>
    <xf numFmtId="166" fontId="16" fillId="27" borderId="35" xfId="0" applyNumberFormat="1" applyFont="1" applyFill="1" applyBorder="1" applyAlignment="1">
      <alignment horizontal="right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36" fillId="0" borderId="22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32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1" fontId="16" fillId="27" borderId="30" xfId="0" applyNumberFormat="1" applyFont="1" applyFill="1" applyBorder="1" applyAlignment="1">
      <alignment horizontal="center"/>
    </xf>
    <xf numFmtId="1" fontId="16" fillId="27" borderId="32" xfId="0" applyNumberFormat="1" applyFont="1" applyFill="1" applyBorder="1" applyAlignment="1">
      <alignment horizontal="center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locked="0"/>
    </xf>
    <xf numFmtId="0" fontId="34" fillId="0" borderId="11" xfId="0" applyFont="1" applyBorder="1" applyAlignment="1" applyProtection="1">
      <alignment horizontal="left" vertical="top" wrapText="1" readingOrder="1"/>
      <protection locked="0"/>
    </xf>
    <xf numFmtId="0" fontId="34" fillId="0" borderId="23" xfId="0" applyFont="1" applyBorder="1" applyAlignment="1" applyProtection="1">
      <alignment horizontal="left" vertical="top" wrapText="1" readingOrder="1"/>
      <protection locked="0"/>
    </xf>
    <xf numFmtId="0" fontId="34" fillId="0" borderId="12" xfId="0" applyFont="1" applyBorder="1" applyAlignment="1" applyProtection="1">
      <alignment horizontal="left" vertical="top" wrapText="1" readingOrder="1"/>
      <protection locked="0"/>
    </xf>
    <xf numFmtId="0" fontId="34" fillId="0" borderId="0" xfId="0" applyFont="1" applyAlignment="1" applyProtection="1">
      <alignment horizontal="left" vertical="top" wrapText="1" readingOrder="1"/>
      <protection locked="0"/>
    </xf>
    <xf numFmtId="0" fontId="34" fillId="0" borderId="24" xfId="0" applyFont="1" applyBorder="1" applyAlignment="1" applyProtection="1">
      <alignment horizontal="left" vertical="top" wrapText="1" readingOrder="1"/>
      <protection locked="0"/>
    </xf>
    <xf numFmtId="0" fontId="34" fillId="0" borderId="25" xfId="0" applyFont="1" applyBorder="1" applyAlignment="1" applyProtection="1">
      <alignment horizontal="left" vertical="top" wrapText="1" readingOrder="1"/>
      <protection locked="0"/>
    </xf>
    <xf numFmtId="0" fontId="34" fillId="0" borderId="26" xfId="0" applyFont="1" applyBorder="1" applyAlignment="1" applyProtection="1">
      <alignment horizontal="left" vertical="top" wrapText="1" readingOrder="1"/>
      <protection locked="0"/>
    </xf>
    <xf numFmtId="0" fontId="34" fillId="0" borderId="27" xfId="0" applyFont="1" applyBorder="1" applyAlignment="1" applyProtection="1">
      <alignment horizontal="left" vertical="top" wrapText="1" readingOrder="1"/>
      <protection locked="0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6942592"/>
        <c:axId val="286940632"/>
      </c:barChart>
      <c:catAx>
        <c:axId val="286942592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69406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69406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694259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106728"/>
        <c:axId val="313109864"/>
      </c:barChart>
      <c:catAx>
        <c:axId val="313106728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1098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131098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10672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107904"/>
        <c:axId val="313111432"/>
      </c:barChart>
      <c:catAx>
        <c:axId val="313107904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11143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131114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10790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107512"/>
        <c:axId val="313110256"/>
      </c:barChart>
      <c:catAx>
        <c:axId val="313107512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1102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131102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10751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3111040"/>
        <c:axId val="313113392"/>
      </c:barChart>
      <c:catAx>
        <c:axId val="31311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1339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1311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11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113784"/>
        <c:axId val="313114176"/>
      </c:barChart>
      <c:catAx>
        <c:axId val="313113784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1141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131141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11378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Totals by Weekday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Stats'!$K$4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Stats'!$K$5:$K$11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C8A-4CC2-9FEF-3E0266C5934B}"/>
            </c:ext>
          </c:extLst>
        </c:ser>
        <c:ser>
          <c:idx val="1"/>
          <c:order val="1"/>
          <c:tx>
            <c:strRef>
              <c:f>'Shift Stats'!$L$4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Stats'!$L$5:$L$11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C8A-4CC2-9FEF-3E0266C5934B}"/>
            </c:ext>
          </c:extLst>
        </c:ser>
        <c:ser>
          <c:idx val="2"/>
          <c:order val="2"/>
          <c:tx>
            <c:strRef>
              <c:f>'Shift Stats'!$M$4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Stats'!$M$5:$M$11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C8A-4CC2-9FEF-3E0266C59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752616"/>
        <c:axId val="313751440"/>
      </c:barChart>
      <c:catAx>
        <c:axId val="31375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751440"/>
        <c:crosses val="autoZero"/>
        <c:auto val="1"/>
        <c:lblAlgn val="ctr"/>
        <c:lblOffset val="100"/>
        <c:noMultiLvlLbl val="0"/>
      </c:catAx>
      <c:valAx>
        <c:axId val="31375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752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Volumes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'Shift Stats'!$H$4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'Shift Stats'!$H$5:$H$35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BE-4B06-BC3E-632DACA53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751048"/>
        <c:axId val="313751832"/>
      </c:scatterChart>
      <c:valAx>
        <c:axId val="313751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751832"/>
        <c:crosses val="autoZero"/>
        <c:crossBetween val="midCat"/>
      </c:valAx>
      <c:valAx>
        <c:axId val="31375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751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Averages By Weekday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Stats'!$K$29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Stats'!$K$30:$K$36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A7E-4B3D-A775-F500DA6A47A9}"/>
            </c:ext>
          </c:extLst>
        </c:ser>
        <c:ser>
          <c:idx val="1"/>
          <c:order val="1"/>
          <c:tx>
            <c:strRef>
              <c:f>'Shift Stats'!$L$29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Stats'!$L$30:$L$36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A7E-4B3D-A775-F500DA6A47A9}"/>
            </c:ext>
          </c:extLst>
        </c:ser>
        <c:ser>
          <c:idx val="2"/>
          <c:order val="2"/>
          <c:tx>
            <c:strRef>
              <c:f>'Shift Stats'!$M$29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Stats'!$M$30:$M$36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A7E-4B3D-A775-F500DA6A4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749480"/>
        <c:axId val="313753008"/>
      </c:barChart>
      <c:catAx>
        <c:axId val="313749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753008"/>
        <c:crosses val="autoZero"/>
        <c:auto val="1"/>
        <c:lblAlgn val="ctr"/>
        <c:lblOffset val="100"/>
        <c:noMultiLvlLbl val="0"/>
      </c:catAx>
      <c:valAx>
        <c:axId val="31375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749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753400"/>
        <c:axId val="313749088"/>
      </c:barChart>
      <c:catAx>
        <c:axId val="313753400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749088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137490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75340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754184"/>
        <c:axId val="313750264"/>
      </c:barChart>
      <c:catAx>
        <c:axId val="313754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750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750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7541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13</xdr:row>
      <xdr:rowOff>22860</xdr:rowOff>
    </xdr:from>
    <xdr:to>
      <xdr:col>14</xdr:col>
      <xdr:colOff>0</xdr:colOff>
      <xdr:row>25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7620</xdr:colOff>
      <xdr:row>36</xdr:row>
      <xdr:rowOff>129540</xdr:rowOff>
    </xdr:from>
    <xdr:to>
      <xdr:col>8</xdr:col>
      <xdr:colOff>0</xdr:colOff>
      <xdr:row>51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38</xdr:row>
      <xdr:rowOff>61911</xdr:rowOff>
    </xdr:from>
    <xdr:to>
      <xdr:col>14</xdr:col>
      <xdr:colOff>0</xdr:colOff>
      <xdr:row>51</xdr:row>
      <xdr:rowOff>123824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99060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0</xdr:rowOff>
        </xdr:from>
        <xdr:to>
          <xdr:col>9</xdr:col>
          <xdr:colOff>312420</xdr:colOff>
          <xdr:row>4</xdr:row>
          <xdr:rowOff>99060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22</xdr:row>
          <xdr:rowOff>5080</xdr:rowOff>
        </xdr:from>
        <xdr:to>
          <xdr:col>6</xdr:col>
          <xdr:colOff>350520</xdr:colOff>
          <xdr:row>40</xdr:row>
          <xdr:rowOff>116195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40</xdr:row>
          <xdr:rowOff>22860</xdr:rowOff>
        </xdr:from>
        <xdr:to>
          <xdr:col>6</xdr:col>
          <xdr:colOff>320040</xdr:colOff>
          <xdr:row>40</xdr:row>
          <xdr:rowOff>312420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57</xdr:row>
          <xdr:rowOff>241300</xdr:rowOff>
        </xdr:from>
        <xdr:to>
          <xdr:col>6</xdr:col>
          <xdr:colOff>365760</xdr:colOff>
          <xdr:row>76</xdr:row>
          <xdr:rowOff>118292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3</xdr:row>
          <xdr:rowOff>22860</xdr:rowOff>
        </xdr:from>
        <xdr:to>
          <xdr:col>7</xdr:col>
          <xdr:colOff>487680</xdr:colOff>
          <xdr:row>4</xdr:row>
          <xdr:rowOff>45720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4</xdr:row>
          <xdr:rowOff>22860</xdr:rowOff>
        </xdr:from>
        <xdr:to>
          <xdr:col>7</xdr:col>
          <xdr:colOff>487680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zoomScale="85" zoomScaleNormal="13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.33203125" style="38" customWidth="1"/>
    <col min="3" max="4" width="8.33203125" style="49" customWidth="1"/>
    <col min="5" max="6" width="8.33203125" style="51" customWidth="1"/>
    <col min="7" max="7" width="8.33203125" style="49" customWidth="1"/>
    <col min="8" max="9" width="11.6640625" style="49" customWidth="1"/>
    <col min="10" max="16384" width="9.109375" style="38"/>
  </cols>
  <sheetData>
    <row r="1" spans="2:13" ht="15.6" thickBot="1" x14ac:dyDescent="0.3"/>
    <row r="2" spans="2:13" ht="15.6" x14ac:dyDescent="0.3">
      <c r="B2" s="358" t="str">
        <f>"AMOUNT OF FRUIT CONFISCATED AT " &amp; Location &amp; " (kg)"</f>
        <v>AMOUNT OF FRUIT CONFISCATED AT OODLA WIRRA (kg)</v>
      </c>
      <c r="C2" s="359"/>
      <c r="D2" s="359"/>
      <c r="E2" s="359"/>
      <c r="F2" s="359"/>
      <c r="G2" s="359"/>
      <c r="H2" s="359"/>
      <c r="I2" s="359"/>
      <c r="J2" s="360"/>
      <c r="K2" s="360"/>
      <c r="L2" s="361"/>
    </row>
    <row r="3" spans="2:13" ht="16.2" thickBot="1" x14ac:dyDescent="0.35">
      <c r="B3" s="362" t="str">
        <f>Month &amp;  " " &amp; Year</f>
        <v>July 2019</v>
      </c>
      <c r="C3" s="363"/>
      <c r="D3" s="363"/>
      <c r="E3" s="363"/>
      <c r="F3" s="363"/>
      <c r="G3" s="363"/>
      <c r="H3" s="363"/>
      <c r="I3" s="363"/>
      <c r="J3" s="364"/>
      <c r="K3" s="364"/>
      <c r="L3" s="365"/>
    </row>
    <row r="4" spans="2:13" s="50" customFormat="1" ht="49.5" customHeight="1" thickBot="1" x14ac:dyDescent="0.3">
      <c r="B4" s="122" t="s">
        <v>0</v>
      </c>
      <c r="C4" s="123" t="s">
        <v>1</v>
      </c>
      <c r="D4" s="123" t="s">
        <v>2</v>
      </c>
      <c r="E4" s="123" t="s">
        <v>3</v>
      </c>
      <c r="F4" s="123" t="s">
        <v>4</v>
      </c>
      <c r="G4" s="123" t="s">
        <v>5</v>
      </c>
      <c r="H4" s="123" t="s">
        <v>6</v>
      </c>
      <c r="I4" s="124" t="s">
        <v>23</v>
      </c>
      <c r="J4" s="125" t="s">
        <v>45</v>
      </c>
      <c r="K4" s="126" t="s">
        <v>46</v>
      </c>
      <c r="L4" s="123" t="s">
        <v>28</v>
      </c>
    </row>
    <row r="5" spans="2:13" ht="15.6" x14ac:dyDescent="0.3">
      <c r="B5" s="118">
        <v>1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20">
        <f>SUM(C5:H5)</f>
        <v>0</v>
      </c>
      <c r="J5" s="119">
        <v>0</v>
      </c>
      <c r="K5" s="119">
        <v>0</v>
      </c>
      <c r="L5" s="121">
        <f>SUM(J5:K5)</f>
        <v>0</v>
      </c>
      <c r="M5" s="200">
        <f>I5-L5</f>
        <v>0</v>
      </c>
    </row>
    <row r="6" spans="2:13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111">
        <f t="shared" ref="I6:I35" si="0">SUM(C6:H6)</f>
        <v>0</v>
      </c>
      <c r="J6" s="44">
        <v>0</v>
      </c>
      <c r="K6" s="44">
        <v>0</v>
      </c>
      <c r="L6" s="114">
        <f t="shared" ref="L6:L35" si="1">SUM(J6:K6)</f>
        <v>0</v>
      </c>
      <c r="M6" s="200">
        <f t="shared" ref="M6:M35" si="2">I6-L6</f>
        <v>0</v>
      </c>
    </row>
    <row r="7" spans="2:13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1">
        <f t="shared" si="0"/>
        <v>0</v>
      </c>
      <c r="J7" s="44">
        <v>0</v>
      </c>
      <c r="K7" s="44">
        <v>0</v>
      </c>
      <c r="L7" s="114">
        <f t="shared" si="1"/>
        <v>0</v>
      </c>
      <c r="M7" s="200">
        <f t="shared" si="2"/>
        <v>0</v>
      </c>
    </row>
    <row r="8" spans="2:13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1">
        <f t="shared" si="0"/>
        <v>0</v>
      </c>
      <c r="J8" s="44">
        <v>0</v>
      </c>
      <c r="K8" s="44">
        <v>0</v>
      </c>
      <c r="L8" s="114">
        <f t="shared" si="1"/>
        <v>0</v>
      </c>
      <c r="M8" s="200">
        <f t="shared" si="2"/>
        <v>0</v>
      </c>
    </row>
    <row r="9" spans="2:13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111">
        <f t="shared" si="0"/>
        <v>0</v>
      </c>
      <c r="J9" s="44">
        <v>0</v>
      </c>
      <c r="K9" s="44">
        <v>0</v>
      </c>
      <c r="L9" s="114">
        <f t="shared" si="1"/>
        <v>0</v>
      </c>
      <c r="M9" s="200">
        <f t="shared" si="2"/>
        <v>0</v>
      </c>
    </row>
    <row r="10" spans="2:13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111">
        <f t="shared" si="0"/>
        <v>0</v>
      </c>
      <c r="J10" s="44">
        <v>0</v>
      </c>
      <c r="K10" s="44">
        <v>0</v>
      </c>
      <c r="L10" s="114">
        <f t="shared" si="1"/>
        <v>0</v>
      </c>
      <c r="M10" s="200">
        <f t="shared" si="2"/>
        <v>0</v>
      </c>
    </row>
    <row r="11" spans="2:13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111">
        <f t="shared" si="0"/>
        <v>0</v>
      </c>
      <c r="J11" s="44">
        <v>0</v>
      </c>
      <c r="K11" s="44">
        <v>0</v>
      </c>
      <c r="L11" s="114">
        <f t="shared" si="1"/>
        <v>0</v>
      </c>
      <c r="M11" s="200">
        <f t="shared" si="2"/>
        <v>0</v>
      </c>
    </row>
    <row r="12" spans="2:13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111">
        <f t="shared" si="0"/>
        <v>0</v>
      </c>
      <c r="J12" s="44">
        <v>0</v>
      </c>
      <c r="K12" s="44">
        <v>0</v>
      </c>
      <c r="L12" s="114">
        <f t="shared" si="1"/>
        <v>0</v>
      </c>
      <c r="M12" s="200">
        <f t="shared" si="2"/>
        <v>0</v>
      </c>
    </row>
    <row r="13" spans="2:13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111">
        <f t="shared" si="0"/>
        <v>0</v>
      </c>
      <c r="J13" s="44">
        <v>0</v>
      </c>
      <c r="K13" s="44">
        <v>0</v>
      </c>
      <c r="L13" s="114">
        <f t="shared" si="1"/>
        <v>0</v>
      </c>
      <c r="M13" s="200">
        <f t="shared" si="2"/>
        <v>0</v>
      </c>
    </row>
    <row r="14" spans="2:13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111">
        <f t="shared" si="0"/>
        <v>0</v>
      </c>
      <c r="J14" s="44">
        <v>0</v>
      </c>
      <c r="K14" s="44">
        <v>0</v>
      </c>
      <c r="L14" s="114">
        <f t="shared" si="1"/>
        <v>0</v>
      </c>
      <c r="M14" s="200">
        <f t="shared" si="2"/>
        <v>0</v>
      </c>
    </row>
    <row r="15" spans="2:13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111">
        <f t="shared" si="0"/>
        <v>0</v>
      </c>
      <c r="J15" s="44">
        <v>0</v>
      </c>
      <c r="K15" s="44">
        <v>0</v>
      </c>
      <c r="L15" s="114">
        <f t="shared" si="1"/>
        <v>0</v>
      </c>
      <c r="M15" s="200">
        <f t="shared" si="2"/>
        <v>0</v>
      </c>
    </row>
    <row r="16" spans="2:13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111">
        <f t="shared" si="0"/>
        <v>0</v>
      </c>
      <c r="J16" s="44">
        <v>0</v>
      </c>
      <c r="K16" s="44">
        <v>0</v>
      </c>
      <c r="L16" s="114">
        <f t="shared" si="1"/>
        <v>0</v>
      </c>
      <c r="M16" s="200">
        <f t="shared" si="2"/>
        <v>0</v>
      </c>
    </row>
    <row r="17" spans="2:13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111">
        <f t="shared" si="0"/>
        <v>0</v>
      </c>
      <c r="J17" s="44">
        <v>0</v>
      </c>
      <c r="K17" s="44">
        <v>0</v>
      </c>
      <c r="L17" s="114">
        <f t="shared" si="1"/>
        <v>0</v>
      </c>
      <c r="M17" s="200">
        <f t="shared" si="2"/>
        <v>0</v>
      </c>
    </row>
    <row r="18" spans="2:13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111">
        <f t="shared" si="0"/>
        <v>0</v>
      </c>
      <c r="J18" s="44">
        <v>0</v>
      </c>
      <c r="K18" s="44">
        <v>0</v>
      </c>
      <c r="L18" s="114">
        <f t="shared" si="1"/>
        <v>0</v>
      </c>
      <c r="M18" s="200">
        <f t="shared" si="2"/>
        <v>0</v>
      </c>
    </row>
    <row r="19" spans="2:13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111">
        <f t="shared" si="0"/>
        <v>0</v>
      </c>
      <c r="J19" s="44">
        <v>0</v>
      </c>
      <c r="K19" s="44">
        <v>0</v>
      </c>
      <c r="L19" s="114">
        <f t="shared" si="1"/>
        <v>0</v>
      </c>
      <c r="M19" s="200">
        <f t="shared" si="2"/>
        <v>0</v>
      </c>
    </row>
    <row r="20" spans="2:13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111">
        <f t="shared" si="0"/>
        <v>0</v>
      </c>
      <c r="J20" s="44">
        <v>0</v>
      </c>
      <c r="K20" s="44">
        <v>0</v>
      </c>
      <c r="L20" s="114">
        <f t="shared" si="1"/>
        <v>0</v>
      </c>
      <c r="M20" s="200">
        <f t="shared" si="2"/>
        <v>0</v>
      </c>
    </row>
    <row r="21" spans="2:13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111">
        <f t="shared" si="0"/>
        <v>0</v>
      </c>
      <c r="J21" s="44">
        <v>0</v>
      </c>
      <c r="K21" s="44">
        <v>0</v>
      </c>
      <c r="L21" s="114">
        <f t="shared" si="1"/>
        <v>0</v>
      </c>
      <c r="M21" s="200">
        <f t="shared" si="2"/>
        <v>0</v>
      </c>
    </row>
    <row r="22" spans="2:13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111">
        <f t="shared" si="0"/>
        <v>0</v>
      </c>
      <c r="J22" s="44">
        <v>0</v>
      </c>
      <c r="K22" s="44">
        <v>0</v>
      </c>
      <c r="L22" s="114">
        <f t="shared" si="1"/>
        <v>0</v>
      </c>
      <c r="M22" s="200">
        <f t="shared" si="2"/>
        <v>0</v>
      </c>
    </row>
    <row r="23" spans="2:13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111">
        <f t="shared" si="0"/>
        <v>0</v>
      </c>
      <c r="J23" s="44">
        <v>0</v>
      </c>
      <c r="K23" s="44">
        <v>0</v>
      </c>
      <c r="L23" s="114">
        <f t="shared" si="1"/>
        <v>0</v>
      </c>
      <c r="M23" s="200">
        <f t="shared" si="2"/>
        <v>0</v>
      </c>
    </row>
    <row r="24" spans="2:13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111">
        <f t="shared" si="0"/>
        <v>0</v>
      </c>
      <c r="J24" s="44">
        <v>0</v>
      </c>
      <c r="K24" s="44">
        <v>0</v>
      </c>
      <c r="L24" s="114">
        <f t="shared" si="1"/>
        <v>0</v>
      </c>
      <c r="M24" s="200">
        <f t="shared" si="2"/>
        <v>0</v>
      </c>
    </row>
    <row r="25" spans="2:13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111">
        <f t="shared" si="0"/>
        <v>0</v>
      </c>
      <c r="J25" s="44">
        <v>0</v>
      </c>
      <c r="K25" s="44">
        <v>0</v>
      </c>
      <c r="L25" s="114">
        <f t="shared" si="1"/>
        <v>0</v>
      </c>
      <c r="M25" s="200">
        <f t="shared" si="2"/>
        <v>0</v>
      </c>
    </row>
    <row r="26" spans="2:13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111">
        <f t="shared" si="0"/>
        <v>0</v>
      </c>
      <c r="J26" s="44">
        <v>0</v>
      </c>
      <c r="K26" s="44">
        <v>0</v>
      </c>
      <c r="L26" s="114">
        <f t="shared" si="1"/>
        <v>0</v>
      </c>
      <c r="M26" s="200">
        <f t="shared" si="2"/>
        <v>0</v>
      </c>
    </row>
    <row r="27" spans="2:13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111">
        <f t="shared" si="0"/>
        <v>0</v>
      </c>
      <c r="J27" s="44">
        <v>0</v>
      </c>
      <c r="K27" s="44">
        <v>0</v>
      </c>
      <c r="L27" s="114">
        <f t="shared" si="1"/>
        <v>0</v>
      </c>
      <c r="M27" s="200">
        <f t="shared" si="2"/>
        <v>0</v>
      </c>
    </row>
    <row r="28" spans="2:13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111">
        <f t="shared" si="0"/>
        <v>0</v>
      </c>
      <c r="J28" s="44">
        <v>0</v>
      </c>
      <c r="K28" s="44">
        <v>0</v>
      </c>
      <c r="L28" s="114">
        <f t="shared" si="1"/>
        <v>0</v>
      </c>
      <c r="M28" s="200">
        <f t="shared" si="2"/>
        <v>0</v>
      </c>
    </row>
    <row r="29" spans="2:13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111">
        <f t="shared" si="0"/>
        <v>0</v>
      </c>
      <c r="J29" s="44">
        <v>0</v>
      </c>
      <c r="K29" s="44">
        <v>0</v>
      </c>
      <c r="L29" s="114">
        <f t="shared" si="1"/>
        <v>0</v>
      </c>
      <c r="M29" s="200">
        <f t="shared" si="2"/>
        <v>0</v>
      </c>
    </row>
    <row r="30" spans="2:13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111">
        <f t="shared" si="0"/>
        <v>0</v>
      </c>
      <c r="J30" s="44">
        <v>0</v>
      </c>
      <c r="K30" s="44">
        <v>0</v>
      </c>
      <c r="L30" s="114">
        <f t="shared" si="1"/>
        <v>0</v>
      </c>
      <c r="M30" s="200">
        <f t="shared" si="2"/>
        <v>0</v>
      </c>
    </row>
    <row r="31" spans="2:13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111">
        <f t="shared" si="0"/>
        <v>0</v>
      </c>
      <c r="J31" s="44">
        <v>0</v>
      </c>
      <c r="K31" s="44">
        <v>0</v>
      </c>
      <c r="L31" s="114">
        <f t="shared" si="1"/>
        <v>0</v>
      </c>
      <c r="M31" s="200">
        <f t="shared" si="2"/>
        <v>0</v>
      </c>
    </row>
    <row r="32" spans="2:13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111">
        <f t="shared" si="0"/>
        <v>0</v>
      </c>
      <c r="J32" s="44">
        <v>0</v>
      </c>
      <c r="K32" s="44">
        <v>0</v>
      </c>
      <c r="L32" s="114">
        <f t="shared" si="1"/>
        <v>0</v>
      </c>
      <c r="M32" s="200">
        <f t="shared" si="2"/>
        <v>0</v>
      </c>
    </row>
    <row r="33" spans="2:13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111">
        <f t="shared" si="0"/>
        <v>0</v>
      </c>
      <c r="J33" s="44">
        <v>0</v>
      </c>
      <c r="K33" s="44">
        <v>0</v>
      </c>
      <c r="L33" s="114">
        <f t="shared" si="1"/>
        <v>0</v>
      </c>
      <c r="M33" s="200">
        <f t="shared" si="2"/>
        <v>0</v>
      </c>
    </row>
    <row r="34" spans="2:13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111">
        <f t="shared" si="0"/>
        <v>0</v>
      </c>
      <c r="J34" s="44">
        <v>0</v>
      </c>
      <c r="K34" s="44">
        <v>0</v>
      </c>
      <c r="L34" s="114">
        <f t="shared" si="1"/>
        <v>0</v>
      </c>
      <c r="M34" s="200">
        <f t="shared" si="2"/>
        <v>0</v>
      </c>
    </row>
    <row r="35" spans="2:13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112">
        <f t="shared" si="0"/>
        <v>0</v>
      </c>
      <c r="J35" s="46">
        <v>0</v>
      </c>
      <c r="K35" s="46">
        <v>0</v>
      </c>
      <c r="L35" s="74">
        <f t="shared" si="1"/>
        <v>0</v>
      </c>
      <c r="M35" s="200">
        <f t="shared" si="2"/>
        <v>0</v>
      </c>
    </row>
    <row r="36" spans="2:13" ht="16.2" thickBot="1" x14ac:dyDescent="0.35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3">
        <f>SUM(L5:L35)</f>
        <v>0</v>
      </c>
    </row>
    <row r="37" spans="2:13" ht="15.6" x14ac:dyDescent="0.3">
      <c r="B37" s="115"/>
      <c r="C37" s="116"/>
      <c r="D37" s="116"/>
      <c r="E37" s="116"/>
      <c r="F37" s="116"/>
      <c r="G37" s="116"/>
      <c r="H37" s="116"/>
      <c r="I37" s="116"/>
      <c r="J37" s="116"/>
      <c r="K37" s="116"/>
      <c r="L37" s="117"/>
    </row>
  </sheetData>
  <sheetProtection sheet="1" objects="1" scenarios="1" selectLockedCells="1"/>
  <customSheetViews>
    <customSheetView guid="{9679493F-7CDF-46D6-BE72-B12FE11A478F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E9A9889A-61F5-47D0-A5C6-BF43493EDD61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10.44140625" style="38" customWidth="1"/>
    <col min="3" max="3" width="12" style="49" customWidth="1"/>
    <col min="4" max="4" width="11.109375" style="49" customWidth="1"/>
    <col min="5" max="5" width="10.44140625" style="49" customWidth="1"/>
    <col min="6" max="6" width="11" style="49" customWidth="1"/>
    <col min="7" max="7" width="10.33203125" style="49" customWidth="1"/>
    <col min="8" max="8" width="10.5546875" style="49" customWidth="1"/>
    <col min="9" max="9" width="12.109375" style="49" customWidth="1"/>
    <col min="10" max="16384" width="9.109375" style="38"/>
  </cols>
  <sheetData>
    <row r="1" spans="2:9" ht="15.6" thickBot="1" x14ac:dyDescent="0.3"/>
    <row r="2" spans="2:9" ht="15.6" x14ac:dyDescent="0.25">
      <c r="B2" s="366" t="str">
        <f>"COMMERCIAL VEHICLES PASSING THROUGH " &amp; Location</f>
        <v>COMMERCIAL VEHICLES PASSING THROUGH OODLA WIRRA</v>
      </c>
      <c r="C2" s="367"/>
      <c r="D2" s="367"/>
      <c r="E2" s="367"/>
      <c r="F2" s="367"/>
      <c r="G2" s="367"/>
      <c r="H2" s="367"/>
      <c r="I2" s="368"/>
    </row>
    <row r="3" spans="2:9" ht="22.95" customHeight="1" thickBot="1" x14ac:dyDescent="0.3">
      <c r="B3" s="369" t="str">
        <f>Month &amp; " " &amp; Year</f>
        <v>July 2019</v>
      </c>
      <c r="C3" s="370"/>
      <c r="D3" s="370"/>
      <c r="E3" s="370"/>
      <c r="F3" s="370"/>
      <c r="G3" s="370"/>
      <c r="H3" s="370"/>
      <c r="I3" s="371"/>
    </row>
    <row r="4" spans="2:9" s="5" customFormat="1" ht="16.2" thickBot="1" x14ac:dyDescent="0.35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2" thickBot="1" x14ac:dyDescent="0.35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72" t="str">
        <f xml:space="preserve"> "CARS PASSING THROUGH " &amp; Location</f>
        <v>CARS PASSING THROUGH OODLA WIRRA</v>
      </c>
      <c r="C2" s="373"/>
      <c r="D2" s="373"/>
      <c r="E2" s="373"/>
      <c r="F2" s="373"/>
      <c r="G2" s="373"/>
      <c r="H2" s="373"/>
      <c r="I2" s="374"/>
    </row>
    <row r="3" spans="2:9" ht="18" thickBot="1" x14ac:dyDescent="0.3">
      <c r="B3" s="375" t="str">
        <f>Month &amp; " " &amp; Year</f>
        <v>July 2019</v>
      </c>
      <c r="C3" s="376"/>
      <c r="D3" s="376"/>
      <c r="E3" s="376"/>
      <c r="F3" s="376"/>
      <c r="G3" s="376"/>
      <c r="H3" s="376"/>
      <c r="I3" s="377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9679493F-7CDF-46D6-BE72-B12FE11A478F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3.2" x14ac:dyDescent="0.25"/>
  <cols>
    <col min="3" max="3" width="10.5546875" customWidth="1"/>
    <col min="4" max="4" width="11.44140625" customWidth="1"/>
    <col min="5" max="5" width="11.109375" customWidth="1"/>
    <col min="6" max="6" width="10.109375" customWidth="1"/>
    <col min="7" max="7" width="10.33203125" customWidth="1"/>
    <col min="8" max="8" width="8.6640625" customWidth="1"/>
    <col min="9" max="9" width="11.44140625" customWidth="1"/>
  </cols>
  <sheetData>
    <row r="1" spans="1:9" ht="15.6" x14ac:dyDescent="0.3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" thickBot="1" x14ac:dyDescent="0.3">
      <c r="A2" s="375" t="e">
        <f>#REF!&amp; " " &amp;#REF!</f>
        <v>#REF!</v>
      </c>
      <c r="B2" s="376"/>
      <c r="C2" s="376"/>
      <c r="D2" s="376"/>
      <c r="E2" s="376"/>
      <c r="F2" s="376"/>
      <c r="G2" s="376"/>
      <c r="H2" s="377"/>
      <c r="I2" s="11"/>
    </row>
    <row r="3" spans="1:9" ht="26.4" x14ac:dyDescent="0.25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3.8" x14ac:dyDescent="0.25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3.8" x14ac:dyDescent="0.25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3.8" x14ac:dyDescent="0.25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3.8" x14ac:dyDescent="0.25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3.8" x14ac:dyDescent="0.25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3.8" x14ac:dyDescent="0.25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3.8" x14ac:dyDescent="0.25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3.8" x14ac:dyDescent="0.25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3.8" x14ac:dyDescent="0.25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3.8" x14ac:dyDescent="0.25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3.8" x14ac:dyDescent="0.25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3.8" x14ac:dyDescent="0.25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3.8" x14ac:dyDescent="0.25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3.8" x14ac:dyDescent="0.25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3.8" x14ac:dyDescent="0.25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3.8" x14ac:dyDescent="0.25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3.8" x14ac:dyDescent="0.25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3.8" x14ac:dyDescent="0.25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3.8" x14ac:dyDescent="0.25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3.8" x14ac:dyDescent="0.25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3.8" x14ac:dyDescent="0.25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3.8" x14ac:dyDescent="0.25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3.8" x14ac:dyDescent="0.25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3.8" x14ac:dyDescent="0.25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3.8" x14ac:dyDescent="0.25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3.8" x14ac:dyDescent="0.25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3.8" x14ac:dyDescent="0.25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3.8" x14ac:dyDescent="0.25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3.8" x14ac:dyDescent="0.25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3.8" x14ac:dyDescent="0.25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3.8" x14ac:dyDescent="0.25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5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5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5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5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5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5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5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5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5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5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5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5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5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5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5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5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5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5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5">
      <c r="B53" s="6"/>
      <c r="C53" s="6"/>
      <c r="D53" s="6"/>
      <c r="E53" s="6"/>
      <c r="F53" s="6"/>
      <c r="G53" s="14"/>
      <c r="H53" s="14"/>
      <c r="I53" s="14"/>
    </row>
    <row r="54" spans="1:9" x14ac:dyDescent="0.25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9679493F-7CDF-46D6-BE72-B12FE11A478F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E9A9889A-61F5-47D0-A5C6-BF43493EDD61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avans"/>
  <dimension ref="B1:I59"/>
  <sheetViews>
    <sheetView showGridLines="0" showRowColHeaders="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72" t="str">
        <f xml:space="preserve"> "CARAVANS &amp; CAMPERS PASSING THROUGH " &amp; Location</f>
        <v>CARAVANS &amp; CAMPERS PASSING THROUGH OODLA WIRRA</v>
      </c>
      <c r="C2" s="373"/>
      <c r="D2" s="373"/>
      <c r="E2" s="373"/>
      <c r="F2" s="373"/>
      <c r="G2" s="373"/>
      <c r="H2" s="373"/>
      <c r="I2" s="374"/>
    </row>
    <row r="3" spans="2:9" ht="18" thickBot="1" x14ac:dyDescent="0.3">
      <c r="B3" s="375" t="str">
        <f>Month &amp; " " &amp; Year</f>
        <v>July 2019</v>
      </c>
      <c r="C3" s="376"/>
      <c r="D3" s="376"/>
      <c r="E3" s="376"/>
      <c r="F3" s="376"/>
      <c r="G3" s="376"/>
      <c r="H3" s="376"/>
      <c r="I3" s="377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zoomScale="70" zoomScaleNormal="85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" style="38" customWidth="1"/>
    <col min="3" max="7" width="7.33203125" style="38" customWidth="1"/>
    <col min="8" max="8" width="10.6640625" style="38" customWidth="1"/>
    <col min="9" max="9" width="12.6640625" style="38" customWidth="1"/>
    <col min="10" max="10" width="13.109375" style="38" customWidth="1"/>
    <col min="11" max="14" width="10.6640625" style="49" customWidth="1"/>
    <col min="15" max="16384" width="9.109375" style="38"/>
  </cols>
  <sheetData>
    <row r="1" spans="2:14" ht="15.6" thickBot="1" x14ac:dyDescent="0.3"/>
    <row r="2" spans="2:14" ht="15.6" x14ac:dyDescent="0.3">
      <c r="B2" s="372" t="str">
        <f>"VEHICLES PASSING THROUGH " &amp; Location &amp; " - MIDNIGHT SHIFT "</f>
        <v xml:space="preserve">VEHICLES PASSING THROUGH OODLA WIRRA - MIDNIGHT SHIFT </v>
      </c>
      <c r="C2" s="359"/>
      <c r="D2" s="359"/>
      <c r="E2" s="359"/>
      <c r="F2" s="359"/>
      <c r="G2" s="359"/>
      <c r="H2" s="359"/>
      <c r="I2" s="359"/>
      <c r="J2" s="359"/>
      <c r="K2" s="359"/>
      <c r="L2" s="359"/>
      <c r="M2" s="359"/>
      <c r="N2" s="378"/>
    </row>
    <row r="3" spans="2:14" ht="16.2" thickBot="1" x14ac:dyDescent="0.3">
      <c r="B3" s="369" t="str">
        <f>Month &amp; " " &amp; Year</f>
        <v>July 2019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1"/>
    </row>
    <row r="4" spans="2:14" s="50" customFormat="1" ht="58.5" customHeight="1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8" t="s">
        <v>111</v>
      </c>
      <c r="J4" s="198" t="s">
        <v>110</v>
      </c>
      <c r="K4" s="198" t="s">
        <v>62</v>
      </c>
      <c r="L4" s="33" t="s">
        <v>15</v>
      </c>
      <c r="M4" s="33" t="s">
        <v>21</v>
      </c>
      <c r="N4" s="33" t="s">
        <v>22</v>
      </c>
    </row>
    <row r="5" spans="2:14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312">
        <v>0</v>
      </c>
      <c r="I5" s="317">
        <f t="shared" ref="I5:I35" si="0">SUM(C5:H5)</f>
        <v>0</v>
      </c>
      <c r="J5" s="315">
        <v>0</v>
      </c>
      <c r="K5" s="41">
        <v>0</v>
      </c>
      <c r="L5" s="41">
        <v>0</v>
      </c>
      <c r="M5" s="315">
        <v>0</v>
      </c>
      <c r="N5" s="52">
        <v>0</v>
      </c>
    </row>
    <row r="6" spans="2:14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313">
        <v>0</v>
      </c>
      <c r="I6" s="318">
        <f t="shared" si="0"/>
        <v>0</v>
      </c>
      <c r="J6" s="316">
        <v>0</v>
      </c>
      <c r="K6" s="44">
        <v>0</v>
      </c>
      <c r="L6" s="311">
        <v>0</v>
      </c>
      <c r="M6" s="316">
        <v>0</v>
      </c>
      <c r="N6" s="53">
        <v>0</v>
      </c>
    </row>
    <row r="7" spans="2:14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313">
        <v>0</v>
      </c>
      <c r="I7" s="318">
        <f t="shared" si="0"/>
        <v>0</v>
      </c>
      <c r="J7" s="316">
        <v>0</v>
      </c>
      <c r="K7" s="44">
        <v>0</v>
      </c>
      <c r="L7" s="311">
        <v>0</v>
      </c>
      <c r="M7" s="316">
        <v>0</v>
      </c>
      <c r="N7" s="53">
        <v>0</v>
      </c>
    </row>
    <row r="8" spans="2:14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313">
        <v>0</v>
      </c>
      <c r="I8" s="318">
        <f t="shared" si="0"/>
        <v>0</v>
      </c>
      <c r="J8" s="316">
        <v>0</v>
      </c>
      <c r="K8" s="44">
        <v>0</v>
      </c>
      <c r="L8" s="311">
        <v>0</v>
      </c>
      <c r="M8" s="316">
        <v>0</v>
      </c>
      <c r="N8" s="53">
        <v>0</v>
      </c>
    </row>
    <row r="9" spans="2:14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313">
        <v>0</v>
      </c>
      <c r="I9" s="318">
        <f t="shared" si="0"/>
        <v>0</v>
      </c>
      <c r="J9" s="316">
        <v>0</v>
      </c>
      <c r="K9" s="44">
        <v>0</v>
      </c>
      <c r="L9" s="311">
        <v>0</v>
      </c>
      <c r="M9" s="316">
        <v>0</v>
      </c>
      <c r="N9" s="53">
        <v>0</v>
      </c>
    </row>
    <row r="10" spans="2:14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313">
        <v>0</v>
      </c>
      <c r="I10" s="318">
        <f t="shared" si="0"/>
        <v>0</v>
      </c>
      <c r="J10" s="316">
        <v>0</v>
      </c>
      <c r="K10" s="44">
        <v>0</v>
      </c>
      <c r="L10" s="311">
        <v>0</v>
      </c>
      <c r="M10" s="316">
        <v>0</v>
      </c>
      <c r="N10" s="53">
        <v>0</v>
      </c>
    </row>
    <row r="11" spans="2:14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313">
        <v>0</v>
      </c>
      <c r="I11" s="318">
        <f t="shared" si="0"/>
        <v>0</v>
      </c>
      <c r="J11" s="316">
        <v>0</v>
      </c>
      <c r="K11" s="44">
        <v>0</v>
      </c>
      <c r="L11" s="311">
        <v>0</v>
      </c>
      <c r="M11" s="316">
        <v>0</v>
      </c>
      <c r="N11" s="53">
        <v>0</v>
      </c>
    </row>
    <row r="12" spans="2:14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313">
        <v>0</v>
      </c>
      <c r="I12" s="318">
        <f t="shared" si="0"/>
        <v>0</v>
      </c>
      <c r="J12" s="316">
        <v>0</v>
      </c>
      <c r="K12" s="44">
        <v>0</v>
      </c>
      <c r="L12" s="311">
        <v>0</v>
      </c>
      <c r="M12" s="316">
        <v>0</v>
      </c>
      <c r="N12" s="53">
        <v>0</v>
      </c>
    </row>
    <row r="13" spans="2:14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313">
        <v>0</v>
      </c>
      <c r="I13" s="318">
        <f t="shared" si="0"/>
        <v>0</v>
      </c>
      <c r="J13" s="316">
        <v>0</v>
      </c>
      <c r="K13" s="44">
        <v>0</v>
      </c>
      <c r="L13" s="311">
        <v>0</v>
      </c>
      <c r="M13" s="316">
        <v>0</v>
      </c>
      <c r="N13" s="53">
        <v>0</v>
      </c>
    </row>
    <row r="14" spans="2:14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313">
        <v>0</v>
      </c>
      <c r="I14" s="318">
        <f t="shared" si="0"/>
        <v>0</v>
      </c>
      <c r="J14" s="316">
        <v>0</v>
      </c>
      <c r="K14" s="44">
        <v>0</v>
      </c>
      <c r="L14" s="311">
        <v>0</v>
      </c>
      <c r="M14" s="316">
        <v>0</v>
      </c>
      <c r="N14" s="53">
        <v>0</v>
      </c>
    </row>
    <row r="15" spans="2:14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313">
        <v>0</v>
      </c>
      <c r="I15" s="318">
        <f t="shared" si="0"/>
        <v>0</v>
      </c>
      <c r="J15" s="316">
        <v>0</v>
      </c>
      <c r="K15" s="44">
        <v>0</v>
      </c>
      <c r="L15" s="311">
        <v>0</v>
      </c>
      <c r="M15" s="316">
        <v>0</v>
      </c>
      <c r="N15" s="53">
        <v>0</v>
      </c>
    </row>
    <row r="16" spans="2:14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313">
        <v>0</v>
      </c>
      <c r="I16" s="318">
        <f t="shared" si="0"/>
        <v>0</v>
      </c>
      <c r="J16" s="316">
        <v>0</v>
      </c>
      <c r="K16" s="44">
        <v>0</v>
      </c>
      <c r="L16" s="311">
        <v>0</v>
      </c>
      <c r="M16" s="316">
        <v>0</v>
      </c>
      <c r="N16" s="53">
        <v>0</v>
      </c>
    </row>
    <row r="17" spans="2:14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313">
        <v>0</v>
      </c>
      <c r="I17" s="318">
        <f t="shared" si="0"/>
        <v>0</v>
      </c>
      <c r="J17" s="316">
        <v>0</v>
      </c>
      <c r="K17" s="44">
        <v>0</v>
      </c>
      <c r="L17" s="311">
        <v>0</v>
      </c>
      <c r="M17" s="316">
        <v>0</v>
      </c>
      <c r="N17" s="53">
        <v>0</v>
      </c>
    </row>
    <row r="18" spans="2:14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313">
        <v>0</v>
      </c>
      <c r="I18" s="318">
        <f t="shared" si="0"/>
        <v>0</v>
      </c>
      <c r="J18" s="316">
        <v>0</v>
      </c>
      <c r="K18" s="44">
        <v>0</v>
      </c>
      <c r="L18" s="311">
        <v>0</v>
      </c>
      <c r="M18" s="316">
        <v>0</v>
      </c>
      <c r="N18" s="53">
        <v>0</v>
      </c>
    </row>
    <row r="19" spans="2:14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313">
        <v>0</v>
      </c>
      <c r="I19" s="318">
        <f t="shared" si="0"/>
        <v>0</v>
      </c>
      <c r="J19" s="316">
        <v>0</v>
      </c>
      <c r="K19" s="44">
        <v>0</v>
      </c>
      <c r="L19" s="311">
        <v>0</v>
      </c>
      <c r="M19" s="316">
        <v>0</v>
      </c>
      <c r="N19" s="53">
        <v>0</v>
      </c>
    </row>
    <row r="20" spans="2:14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313">
        <v>0</v>
      </c>
      <c r="I20" s="318">
        <f t="shared" si="0"/>
        <v>0</v>
      </c>
      <c r="J20" s="316">
        <v>0</v>
      </c>
      <c r="K20" s="44">
        <v>0</v>
      </c>
      <c r="L20" s="311">
        <v>0</v>
      </c>
      <c r="M20" s="316">
        <v>0</v>
      </c>
      <c r="N20" s="53">
        <v>0</v>
      </c>
    </row>
    <row r="21" spans="2:14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313">
        <v>0</v>
      </c>
      <c r="I21" s="318">
        <f t="shared" si="0"/>
        <v>0</v>
      </c>
      <c r="J21" s="316">
        <v>0</v>
      </c>
      <c r="K21" s="44">
        <v>0</v>
      </c>
      <c r="L21" s="311">
        <v>0</v>
      </c>
      <c r="M21" s="316">
        <v>0</v>
      </c>
      <c r="N21" s="53">
        <v>0</v>
      </c>
    </row>
    <row r="22" spans="2:14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313">
        <v>0</v>
      </c>
      <c r="I22" s="318">
        <f t="shared" si="0"/>
        <v>0</v>
      </c>
      <c r="J22" s="316">
        <v>0</v>
      </c>
      <c r="K22" s="44">
        <v>0</v>
      </c>
      <c r="L22" s="311">
        <v>0</v>
      </c>
      <c r="M22" s="316">
        <v>0</v>
      </c>
      <c r="N22" s="53">
        <v>0</v>
      </c>
    </row>
    <row r="23" spans="2:14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313">
        <v>0</v>
      </c>
      <c r="I23" s="318">
        <f t="shared" si="0"/>
        <v>0</v>
      </c>
      <c r="J23" s="316">
        <v>0</v>
      </c>
      <c r="K23" s="44">
        <v>0</v>
      </c>
      <c r="L23" s="311">
        <v>0</v>
      </c>
      <c r="M23" s="316">
        <v>0</v>
      </c>
      <c r="N23" s="53">
        <v>0</v>
      </c>
    </row>
    <row r="24" spans="2:14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313">
        <v>0</v>
      </c>
      <c r="I24" s="318">
        <f t="shared" si="0"/>
        <v>0</v>
      </c>
      <c r="J24" s="316">
        <v>0</v>
      </c>
      <c r="K24" s="44">
        <v>0</v>
      </c>
      <c r="L24" s="311">
        <v>0</v>
      </c>
      <c r="M24" s="316">
        <v>0</v>
      </c>
      <c r="N24" s="53">
        <v>0</v>
      </c>
    </row>
    <row r="25" spans="2:14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313">
        <v>0</v>
      </c>
      <c r="I25" s="318">
        <f t="shared" si="0"/>
        <v>0</v>
      </c>
      <c r="J25" s="316">
        <v>0</v>
      </c>
      <c r="K25" s="44">
        <v>0</v>
      </c>
      <c r="L25" s="311">
        <v>0</v>
      </c>
      <c r="M25" s="316">
        <v>0</v>
      </c>
      <c r="N25" s="53">
        <v>0</v>
      </c>
    </row>
    <row r="26" spans="2:14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313">
        <v>0</v>
      </c>
      <c r="I26" s="318">
        <f t="shared" si="0"/>
        <v>0</v>
      </c>
      <c r="J26" s="316">
        <v>0</v>
      </c>
      <c r="K26" s="44">
        <v>0</v>
      </c>
      <c r="L26" s="311">
        <v>0</v>
      </c>
      <c r="M26" s="316">
        <v>0</v>
      </c>
      <c r="N26" s="53">
        <v>0</v>
      </c>
    </row>
    <row r="27" spans="2:14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313">
        <v>0</v>
      </c>
      <c r="I27" s="318">
        <f t="shared" si="0"/>
        <v>0</v>
      </c>
      <c r="J27" s="316">
        <v>0</v>
      </c>
      <c r="K27" s="44">
        <v>0</v>
      </c>
      <c r="L27" s="311">
        <v>0</v>
      </c>
      <c r="M27" s="316">
        <v>0</v>
      </c>
      <c r="N27" s="53">
        <v>0</v>
      </c>
    </row>
    <row r="28" spans="2:14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313">
        <v>0</v>
      </c>
      <c r="I28" s="318">
        <f t="shared" si="0"/>
        <v>0</v>
      </c>
      <c r="J28" s="316">
        <v>0</v>
      </c>
      <c r="K28" s="44">
        <v>0</v>
      </c>
      <c r="L28" s="311">
        <v>0</v>
      </c>
      <c r="M28" s="316">
        <v>0</v>
      </c>
      <c r="N28" s="53">
        <v>0</v>
      </c>
    </row>
    <row r="29" spans="2:14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313">
        <v>0</v>
      </c>
      <c r="I29" s="318">
        <f t="shared" si="0"/>
        <v>0</v>
      </c>
      <c r="J29" s="316">
        <v>0</v>
      </c>
      <c r="K29" s="44">
        <v>0</v>
      </c>
      <c r="L29" s="311">
        <v>0</v>
      </c>
      <c r="M29" s="316">
        <v>0</v>
      </c>
      <c r="N29" s="53">
        <v>0</v>
      </c>
    </row>
    <row r="30" spans="2:14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313">
        <v>0</v>
      </c>
      <c r="I30" s="318">
        <f t="shared" si="0"/>
        <v>0</v>
      </c>
      <c r="J30" s="316">
        <v>0</v>
      </c>
      <c r="K30" s="44">
        <v>0</v>
      </c>
      <c r="L30" s="311">
        <v>0</v>
      </c>
      <c r="M30" s="316">
        <v>0</v>
      </c>
      <c r="N30" s="53">
        <v>0</v>
      </c>
    </row>
    <row r="31" spans="2:14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313">
        <v>0</v>
      </c>
      <c r="I31" s="318">
        <f t="shared" si="0"/>
        <v>0</v>
      </c>
      <c r="J31" s="316">
        <v>0</v>
      </c>
      <c r="K31" s="44">
        <v>0</v>
      </c>
      <c r="L31" s="311">
        <v>0</v>
      </c>
      <c r="M31" s="316">
        <v>0</v>
      </c>
      <c r="N31" s="53">
        <v>0</v>
      </c>
    </row>
    <row r="32" spans="2:14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313">
        <v>0</v>
      </c>
      <c r="I32" s="318">
        <f t="shared" si="0"/>
        <v>0</v>
      </c>
      <c r="J32" s="316">
        <v>0</v>
      </c>
      <c r="K32" s="44">
        <v>0</v>
      </c>
      <c r="L32" s="311">
        <v>0</v>
      </c>
      <c r="M32" s="316">
        <v>0</v>
      </c>
      <c r="N32" s="53">
        <v>0</v>
      </c>
    </row>
    <row r="33" spans="2:14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313">
        <v>0</v>
      </c>
      <c r="I33" s="318">
        <f t="shared" si="0"/>
        <v>0</v>
      </c>
      <c r="J33" s="316">
        <v>0</v>
      </c>
      <c r="K33" s="44">
        <v>0</v>
      </c>
      <c r="L33" s="311">
        <v>0</v>
      </c>
      <c r="M33" s="316">
        <v>0</v>
      </c>
      <c r="N33" s="53">
        <v>0</v>
      </c>
    </row>
    <row r="34" spans="2:14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313">
        <v>0</v>
      </c>
      <c r="I34" s="318">
        <f t="shared" si="0"/>
        <v>0</v>
      </c>
      <c r="J34" s="316">
        <v>0</v>
      </c>
      <c r="K34" s="44">
        <v>0</v>
      </c>
      <c r="L34" s="311">
        <v>0</v>
      </c>
      <c r="M34" s="316">
        <v>0</v>
      </c>
      <c r="N34" s="53">
        <v>0</v>
      </c>
    </row>
    <row r="35" spans="2:14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314">
        <v>0</v>
      </c>
      <c r="I35" s="319">
        <f t="shared" si="0"/>
        <v>0</v>
      </c>
      <c r="J35" s="316">
        <v>0</v>
      </c>
      <c r="K35" s="46">
        <v>0</v>
      </c>
      <c r="L35" s="46">
        <v>0</v>
      </c>
      <c r="M35" s="320">
        <v>0</v>
      </c>
      <c r="N35" s="54">
        <v>0</v>
      </c>
    </row>
    <row r="36" spans="2:14" x14ac:dyDescent="0.25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3"/>
    </row>
    <row r="37" spans="2:14" ht="15.6" thickBot="1" x14ac:dyDescent="0.3">
      <c r="B37" s="55" t="s">
        <v>7</v>
      </c>
      <c r="C37" s="72">
        <f t="shared" ref="C37:L37" si="1">SUM(C5:C35)</f>
        <v>0</v>
      </c>
      <c r="D37" s="72">
        <f t="shared" si="1"/>
        <v>0</v>
      </c>
      <c r="E37" s="72">
        <f t="shared" si="1"/>
        <v>0</v>
      </c>
      <c r="F37" s="72">
        <f t="shared" si="1"/>
        <v>0</v>
      </c>
      <c r="G37" s="72">
        <f t="shared" si="1"/>
        <v>0</v>
      </c>
      <c r="H37" s="72">
        <f t="shared" si="1"/>
        <v>0</v>
      </c>
      <c r="I37" s="72">
        <f t="shared" si="1"/>
        <v>0</v>
      </c>
      <c r="J37" s="72"/>
      <c r="K37" s="72">
        <f t="shared" si="1"/>
        <v>0</v>
      </c>
      <c r="L37" s="72">
        <f t="shared" si="1"/>
        <v>0</v>
      </c>
      <c r="M37" s="72">
        <f>SUM(M5:M35)</f>
        <v>0</v>
      </c>
      <c r="N37" s="74">
        <f>SUM(N5:N35)</f>
        <v>0</v>
      </c>
    </row>
    <row r="38" spans="2:14" x14ac:dyDescent="0.25">
      <c r="C38" s="49"/>
      <c r="D38" s="49"/>
      <c r="E38" s="49"/>
      <c r="F38" s="49"/>
      <c r="G38" s="49"/>
      <c r="H38" s="49"/>
      <c r="I38" s="49"/>
      <c r="J38" s="49"/>
    </row>
    <row r="39" spans="2:14" x14ac:dyDescent="0.25">
      <c r="C39" s="56" t="e">
        <f t="shared" ref="C39:L39" si="2">+C37/$I$37%</f>
        <v>#DIV/0!</v>
      </c>
      <c r="D39" s="56" t="e">
        <f t="shared" si="2"/>
        <v>#DIV/0!</v>
      </c>
      <c r="E39" s="56" t="e">
        <f t="shared" si="2"/>
        <v>#DIV/0!</v>
      </c>
      <c r="F39" s="56" t="e">
        <f t="shared" si="2"/>
        <v>#DIV/0!</v>
      </c>
      <c r="G39" s="56" t="e">
        <f t="shared" si="2"/>
        <v>#DIV/0!</v>
      </c>
      <c r="H39" s="56" t="e">
        <f t="shared" si="2"/>
        <v>#DIV/0!</v>
      </c>
      <c r="I39" s="56" t="e">
        <f>SUM(C39+D39+E39+F39+G39+H39)</f>
        <v>#DIV/0!</v>
      </c>
      <c r="J39" s="56"/>
      <c r="K39" s="56" t="e">
        <f t="shared" si="2"/>
        <v>#DIV/0!</v>
      </c>
      <c r="L39" s="56" t="e">
        <f t="shared" si="2"/>
        <v>#DIV/0!</v>
      </c>
    </row>
    <row r="40" spans="2:14" x14ac:dyDescent="0.25">
      <c r="C40" s="49"/>
      <c r="D40" s="49"/>
      <c r="E40" s="49"/>
      <c r="F40" s="49"/>
      <c r="G40" s="49"/>
      <c r="H40" s="49"/>
      <c r="I40" s="49"/>
      <c r="J40" s="49"/>
    </row>
    <row r="41" spans="2:14" x14ac:dyDescent="0.25">
      <c r="C41" s="49"/>
      <c r="D41" s="49"/>
      <c r="E41" s="49"/>
      <c r="F41" s="49"/>
      <c r="G41" s="49"/>
      <c r="H41" s="49"/>
      <c r="I41" s="49"/>
      <c r="J41" s="49"/>
    </row>
    <row r="42" spans="2:14" x14ac:dyDescent="0.25">
      <c r="C42" s="49"/>
      <c r="D42" s="49"/>
      <c r="E42" s="49"/>
      <c r="F42" s="49"/>
      <c r="G42" s="49"/>
      <c r="H42" s="49"/>
      <c r="I42" s="49"/>
      <c r="J42" s="49"/>
    </row>
    <row r="43" spans="2:14" x14ac:dyDescent="0.25">
      <c r="C43" s="49"/>
      <c r="D43" s="49"/>
      <c r="E43" s="49"/>
      <c r="F43" s="49"/>
      <c r="G43" s="49"/>
      <c r="H43" s="49"/>
      <c r="I43" s="49"/>
      <c r="J43" s="49"/>
    </row>
    <row r="44" spans="2:14" x14ac:dyDescent="0.25">
      <c r="C44" s="49"/>
      <c r="D44" s="49"/>
      <c r="E44" s="49"/>
      <c r="F44" s="49"/>
      <c r="G44" s="49"/>
      <c r="H44" s="49"/>
      <c r="I44" s="49"/>
      <c r="J44" s="49"/>
    </row>
    <row r="45" spans="2:14" x14ac:dyDescent="0.25">
      <c r="C45" s="49"/>
      <c r="D45" s="49"/>
      <c r="E45" s="49"/>
      <c r="F45" s="49"/>
      <c r="G45" s="49"/>
      <c r="H45" s="49"/>
      <c r="I45" s="49"/>
      <c r="J45" s="49"/>
    </row>
    <row r="46" spans="2:14" x14ac:dyDescent="0.25">
      <c r="C46" s="49"/>
      <c r="D46" s="49"/>
      <c r="E46" s="49"/>
      <c r="F46" s="49"/>
      <c r="G46" s="49"/>
      <c r="H46" s="49"/>
      <c r="I46" s="49"/>
      <c r="J46" s="49"/>
    </row>
    <row r="47" spans="2:14" x14ac:dyDescent="0.25">
      <c r="C47" s="49"/>
      <c r="D47" s="49"/>
      <c r="E47" s="49"/>
      <c r="F47" s="49"/>
      <c r="G47" s="49"/>
      <c r="H47" s="49"/>
      <c r="I47" s="49"/>
      <c r="J47" s="49"/>
    </row>
    <row r="48" spans="2:14" x14ac:dyDescent="0.25">
      <c r="C48" s="49"/>
      <c r="D48" s="49"/>
      <c r="E48" s="49"/>
      <c r="F48" s="49"/>
      <c r="G48" s="49"/>
      <c r="H48" s="49"/>
      <c r="I48" s="49"/>
      <c r="J48" s="49"/>
    </row>
    <row r="49" spans="3:10" x14ac:dyDescent="0.25">
      <c r="C49" s="49"/>
      <c r="D49" s="49"/>
      <c r="E49" s="49"/>
      <c r="F49" s="49"/>
      <c r="G49" s="49"/>
      <c r="H49" s="49"/>
      <c r="I49" s="49"/>
      <c r="J49" s="49"/>
    </row>
    <row r="50" spans="3:10" x14ac:dyDescent="0.25">
      <c r="C50" s="49"/>
      <c r="D50" s="49"/>
      <c r="E50" s="49"/>
      <c r="F50" s="49"/>
      <c r="G50" s="49"/>
      <c r="H50" s="49"/>
      <c r="I50" s="49"/>
      <c r="J50" s="49"/>
    </row>
    <row r="51" spans="3:10" x14ac:dyDescent="0.25">
      <c r="C51" s="49"/>
      <c r="D51" s="49"/>
      <c r="E51" s="49"/>
      <c r="F51" s="49"/>
      <c r="G51" s="49"/>
      <c r="H51" s="49"/>
      <c r="I51" s="49"/>
      <c r="J51" s="49"/>
    </row>
    <row r="52" spans="3:10" x14ac:dyDescent="0.25">
      <c r="C52" s="49"/>
      <c r="D52" s="49"/>
      <c r="E52" s="49"/>
      <c r="F52" s="49"/>
      <c r="G52" s="49"/>
      <c r="H52" s="49"/>
      <c r="I52" s="49"/>
      <c r="J52" s="49"/>
    </row>
    <row r="53" spans="3:10" x14ac:dyDescent="0.25">
      <c r="C53" s="49"/>
      <c r="D53" s="49"/>
      <c r="E53" s="49"/>
      <c r="F53" s="49"/>
      <c r="G53" s="49"/>
      <c r="H53" s="49"/>
      <c r="I53" s="49"/>
      <c r="J53" s="49"/>
    </row>
    <row r="54" spans="3:10" x14ac:dyDescent="0.25">
      <c r="C54" s="49"/>
      <c r="D54" s="49"/>
      <c r="E54" s="49"/>
      <c r="F54" s="49"/>
      <c r="G54" s="49"/>
      <c r="H54" s="49"/>
      <c r="I54" s="49"/>
      <c r="J54" s="49"/>
    </row>
    <row r="55" spans="3:10" x14ac:dyDescent="0.25">
      <c r="C55" s="49"/>
      <c r="D55" s="49"/>
      <c r="E55" s="49"/>
      <c r="F55" s="49"/>
      <c r="G55" s="49"/>
      <c r="H55" s="49"/>
      <c r="I55" s="49"/>
      <c r="J55" s="49"/>
    </row>
    <row r="56" spans="3:10" x14ac:dyDescent="0.25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C2:N65"/>
  <sheetViews>
    <sheetView showGridLines="0" showRowColHeaders="0" topLeftCell="A5" zoomScaleNormal="100" workbookViewId="0">
      <selection activeCell="F5" sqref="F5:H35"/>
    </sheetView>
  </sheetViews>
  <sheetFormatPr defaultRowHeight="13.2" x14ac:dyDescent="0.25"/>
  <cols>
    <col min="1" max="1" width="2.88671875" customWidth="1"/>
    <col min="2" max="2" width="2.33203125" customWidth="1"/>
    <col min="3" max="3" width="5.6640625" customWidth="1"/>
    <col min="4" max="4" width="19" customWidth="1"/>
    <col min="5" max="8" width="14.6640625" customWidth="1"/>
    <col min="9" max="9" width="4.5546875" customWidth="1"/>
    <col min="10" max="10" width="13" customWidth="1"/>
    <col min="11" max="12" width="11.88671875" customWidth="1"/>
    <col min="13" max="13" width="12.33203125" customWidth="1"/>
    <col min="14" max="14" width="11.88671875" customWidth="1"/>
  </cols>
  <sheetData>
    <row r="2" spans="3:14" ht="13.8" thickBot="1" x14ac:dyDescent="0.3"/>
    <row r="3" spans="3:14" ht="42.75" customHeight="1" thickBot="1" x14ac:dyDescent="0.3">
      <c r="C3" s="388" t="str">
        <f>Location&amp;" - Traffic Volumes per Shift - "&amp; Month &amp; " " &amp; Year</f>
        <v>OODLA WIRRA - Traffic Volumes per Shift - July 2019</v>
      </c>
      <c r="D3" s="389"/>
      <c r="E3" s="389"/>
      <c r="F3" s="389"/>
      <c r="G3" s="389"/>
      <c r="H3" s="390"/>
      <c r="J3" s="385" t="s">
        <v>119</v>
      </c>
      <c r="K3" s="386"/>
      <c r="L3" s="386"/>
      <c r="M3" s="386"/>
      <c r="N3" s="387"/>
    </row>
    <row r="4" spans="3:14" ht="18" thickBot="1" x14ac:dyDescent="0.3">
      <c r="C4" s="273" t="s">
        <v>12</v>
      </c>
      <c r="D4" s="273" t="s">
        <v>102</v>
      </c>
      <c r="E4" s="274" t="s">
        <v>101</v>
      </c>
      <c r="F4" s="274" t="s">
        <v>12</v>
      </c>
      <c r="G4" s="274" t="s">
        <v>13</v>
      </c>
      <c r="H4" s="275" t="s">
        <v>28</v>
      </c>
      <c r="J4" s="325"/>
      <c r="K4" s="326" t="s">
        <v>101</v>
      </c>
      <c r="L4" s="326" t="s">
        <v>12</v>
      </c>
      <c r="M4" s="326" t="s">
        <v>13</v>
      </c>
      <c r="N4" s="327" t="s">
        <v>28</v>
      </c>
    </row>
    <row r="5" spans="3:14" ht="15" x14ac:dyDescent="0.25">
      <c r="C5" s="355">
        <v>1</v>
      </c>
      <c r="D5" s="357" t="str">
        <f t="shared" ref="D5:D35" si="0">TEXT(DATE(Year,MONTH(1&amp;Month),DateShiftStats),"dddd")</f>
        <v>Monday</v>
      </c>
      <c r="E5" s="279">
        <v>0</v>
      </c>
      <c r="F5" s="280">
        <v>0</v>
      </c>
      <c r="G5" s="281">
        <v>0</v>
      </c>
      <c r="H5" s="276">
        <f>SUM(E5:G5)</f>
        <v>0</v>
      </c>
      <c r="J5" s="322" t="s">
        <v>112</v>
      </c>
      <c r="K5" s="328">
        <f t="shared" ref="K5:M11" si="1">SUMIF($D$5:$D$35,$J5,E$5:E$35)</f>
        <v>0</v>
      </c>
      <c r="L5" s="328">
        <f t="shared" si="1"/>
        <v>0</v>
      </c>
      <c r="M5" s="329">
        <f t="shared" si="1"/>
        <v>0</v>
      </c>
      <c r="N5" s="330">
        <f>SUM(K5:M5)</f>
        <v>0</v>
      </c>
    </row>
    <row r="6" spans="3:14" ht="15" x14ac:dyDescent="0.25">
      <c r="C6" s="355">
        <v>2</v>
      </c>
      <c r="D6" s="357" t="str">
        <f t="shared" si="0"/>
        <v>Tuesday</v>
      </c>
      <c r="E6" s="282">
        <v>0</v>
      </c>
      <c r="F6" s="271">
        <v>0</v>
      </c>
      <c r="G6" s="283">
        <v>0</v>
      </c>
      <c r="H6" s="277">
        <f t="shared" ref="H6:H35" si="2">SUM(E6:G6)</f>
        <v>0</v>
      </c>
      <c r="J6" s="321" t="s">
        <v>113</v>
      </c>
      <c r="K6" s="331">
        <f t="shared" si="1"/>
        <v>0</v>
      </c>
      <c r="L6" s="331">
        <f t="shared" si="1"/>
        <v>0</v>
      </c>
      <c r="M6" s="332">
        <f t="shared" si="1"/>
        <v>0</v>
      </c>
      <c r="N6" s="333">
        <f t="shared" ref="N6:N11" si="3">SUM(K6:M6)</f>
        <v>0</v>
      </c>
    </row>
    <row r="7" spans="3:14" ht="15" x14ac:dyDescent="0.25">
      <c r="C7" s="355">
        <v>3</v>
      </c>
      <c r="D7" s="357" t="str">
        <f t="shared" si="0"/>
        <v>Wednesday</v>
      </c>
      <c r="E7" s="282">
        <v>0</v>
      </c>
      <c r="F7" s="271">
        <v>0</v>
      </c>
      <c r="G7" s="283">
        <v>0</v>
      </c>
      <c r="H7" s="277">
        <f t="shared" si="2"/>
        <v>0</v>
      </c>
      <c r="J7" s="321" t="s">
        <v>114</v>
      </c>
      <c r="K7" s="331">
        <f t="shared" si="1"/>
        <v>0</v>
      </c>
      <c r="L7" s="331">
        <f t="shared" si="1"/>
        <v>0</v>
      </c>
      <c r="M7" s="332">
        <f t="shared" si="1"/>
        <v>0</v>
      </c>
      <c r="N7" s="333">
        <f t="shared" si="3"/>
        <v>0</v>
      </c>
    </row>
    <row r="8" spans="3:14" ht="15" x14ac:dyDescent="0.25">
      <c r="C8" s="355">
        <v>4</v>
      </c>
      <c r="D8" s="357" t="str">
        <f t="shared" si="0"/>
        <v>Thursday</v>
      </c>
      <c r="E8" s="282">
        <v>0</v>
      </c>
      <c r="F8" s="271">
        <v>0</v>
      </c>
      <c r="G8" s="283">
        <v>0</v>
      </c>
      <c r="H8" s="277">
        <f t="shared" si="2"/>
        <v>0</v>
      </c>
      <c r="J8" s="321" t="s">
        <v>115</v>
      </c>
      <c r="K8" s="331">
        <f t="shared" si="1"/>
        <v>0</v>
      </c>
      <c r="L8" s="331">
        <f t="shared" si="1"/>
        <v>0</v>
      </c>
      <c r="M8" s="332">
        <f t="shared" si="1"/>
        <v>0</v>
      </c>
      <c r="N8" s="333">
        <f t="shared" si="3"/>
        <v>0</v>
      </c>
    </row>
    <row r="9" spans="3:14" ht="15" x14ac:dyDescent="0.25">
      <c r="C9" s="355">
        <v>5</v>
      </c>
      <c r="D9" s="357" t="str">
        <f t="shared" si="0"/>
        <v>Friday</v>
      </c>
      <c r="E9" s="282">
        <v>0</v>
      </c>
      <c r="F9" s="271">
        <v>0</v>
      </c>
      <c r="G9" s="283">
        <v>0</v>
      </c>
      <c r="H9" s="277">
        <f t="shared" si="2"/>
        <v>0</v>
      </c>
      <c r="J9" s="321" t="s">
        <v>116</v>
      </c>
      <c r="K9" s="331">
        <f t="shared" si="1"/>
        <v>0</v>
      </c>
      <c r="L9" s="331">
        <f t="shared" si="1"/>
        <v>0</v>
      </c>
      <c r="M9" s="332">
        <f t="shared" si="1"/>
        <v>0</v>
      </c>
      <c r="N9" s="333">
        <f t="shared" si="3"/>
        <v>0</v>
      </c>
    </row>
    <row r="10" spans="3:14" ht="15" x14ac:dyDescent="0.25">
      <c r="C10" s="355">
        <v>6</v>
      </c>
      <c r="D10" s="357" t="str">
        <f t="shared" si="0"/>
        <v>Saturday</v>
      </c>
      <c r="E10" s="282">
        <v>0</v>
      </c>
      <c r="F10" s="271">
        <v>0</v>
      </c>
      <c r="G10" s="283">
        <v>0</v>
      </c>
      <c r="H10" s="277">
        <f t="shared" si="2"/>
        <v>0</v>
      </c>
      <c r="J10" s="321" t="s">
        <v>117</v>
      </c>
      <c r="K10" s="331">
        <f t="shared" si="1"/>
        <v>0</v>
      </c>
      <c r="L10" s="331">
        <f t="shared" si="1"/>
        <v>0</v>
      </c>
      <c r="M10" s="332">
        <f t="shared" si="1"/>
        <v>0</v>
      </c>
      <c r="N10" s="333">
        <f t="shared" si="3"/>
        <v>0</v>
      </c>
    </row>
    <row r="11" spans="3:14" ht="15.6" thickBot="1" x14ac:dyDescent="0.3">
      <c r="C11" s="355">
        <v>7</v>
      </c>
      <c r="D11" s="357" t="str">
        <f t="shared" si="0"/>
        <v>Sunday</v>
      </c>
      <c r="E11" s="282">
        <v>0</v>
      </c>
      <c r="F11" s="271">
        <v>0</v>
      </c>
      <c r="G11" s="283">
        <v>0</v>
      </c>
      <c r="H11" s="277">
        <f t="shared" si="2"/>
        <v>0</v>
      </c>
      <c r="J11" s="323" t="s">
        <v>118</v>
      </c>
      <c r="K11" s="334">
        <f t="shared" si="1"/>
        <v>0</v>
      </c>
      <c r="L11" s="334">
        <f t="shared" si="1"/>
        <v>0</v>
      </c>
      <c r="M11" s="335">
        <f t="shared" si="1"/>
        <v>0</v>
      </c>
      <c r="N11" s="336">
        <f t="shared" si="3"/>
        <v>0</v>
      </c>
    </row>
    <row r="12" spans="3:14" ht="15.6" thickBot="1" x14ac:dyDescent="0.3">
      <c r="C12" s="355">
        <v>8</v>
      </c>
      <c r="D12" s="357" t="str">
        <f t="shared" si="0"/>
        <v>Monday</v>
      </c>
      <c r="E12" s="282">
        <v>0</v>
      </c>
      <c r="F12" s="271">
        <v>0</v>
      </c>
      <c r="G12" s="283">
        <v>0</v>
      </c>
      <c r="H12" s="277">
        <f t="shared" si="2"/>
        <v>0</v>
      </c>
      <c r="J12" s="324" t="s">
        <v>120</v>
      </c>
      <c r="K12" s="337">
        <f>SUM(K5:K11)</f>
        <v>0</v>
      </c>
      <c r="L12" s="338">
        <f t="shared" ref="L12:M12" si="4">SUM(L5:L11)</f>
        <v>0</v>
      </c>
      <c r="M12" s="339">
        <f t="shared" si="4"/>
        <v>0</v>
      </c>
      <c r="N12" s="340">
        <f>SUM(K12:M12)</f>
        <v>0</v>
      </c>
    </row>
    <row r="13" spans="3:14" ht="15" x14ac:dyDescent="0.25">
      <c r="C13" s="355">
        <v>9</v>
      </c>
      <c r="D13" s="357" t="str">
        <f t="shared" si="0"/>
        <v>Tuesday</v>
      </c>
      <c r="E13" s="282">
        <v>0</v>
      </c>
      <c r="F13" s="271">
        <v>0</v>
      </c>
      <c r="G13" s="283">
        <v>0</v>
      </c>
      <c r="H13" s="277">
        <f t="shared" si="2"/>
        <v>0</v>
      </c>
    </row>
    <row r="14" spans="3:14" ht="15" x14ac:dyDescent="0.25">
      <c r="C14" s="355">
        <v>10</v>
      </c>
      <c r="D14" s="357" t="str">
        <f t="shared" si="0"/>
        <v>Wednesday</v>
      </c>
      <c r="E14" s="282">
        <v>0</v>
      </c>
      <c r="F14" s="271">
        <v>0</v>
      </c>
      <c r="G14" s="283">
        <v>0</v>
      </c>
      <c r="H14" s="277">
        <f t="shared" si="2"/>
        <v>0</v>
      </c>
    </row>
    <row r="15" spans="3:14" ht="15" x14ac:dyDescent="0.25">
      <c r="C15" s="355">
        <v>11</v>
      </c>
      <c r="D15" s="357" t="str">
        <f t="shared" si="0"/>
        <v>Thursday</v>
      </c>
      <c r="E15" s="282">
        <v>0</v>
      </c>
      <c r="F15" s="271">
        <v>0</v>
      </c>
      <c r="G15" s="283">
        <v>0</v>
      </c>
      <c r="H15" s="277">
        <f t="shared" si="2"/>
        <v>0</v>
      </c>
    </row>
    <row r="16" spans="3:14" ht="15" x14ac:dyDescent="0.25">
      <c r="C16" s="355">
        <v>12</v>
      </c>
      <c r="D16" s="357" t="str">
        <f t="shared" si="0"/>
        <v>Friday</v>
      </c>
      <c r="E16" s="282">
        <v>0</v>
      </c>
      <c r="F16" s="271">
        <v>0</v>
      </c>
      <c r="G16" s="283">
        <v>0</v>
      </c>
      <c r="H16" s="277">
        <f t="shared" si="2"/>
        <v>0</v>
      </c>
    </row>
    <row r="17" spans="3:14" ht="15" x14ac:dyDescent="0.25">
      <c r="C17" s="355">
        <v>13</v>
      </c>
      <c r="D17" s="357" t="str">
        <f t="shared" si="0"/>
        <v>Saturday</v>
      </c>
      <c r="E17" s="282">
        <v>0</v>
      </c>
      <c r="F17" s="271">
        <v>0</v>
      </c>
      <c r="G17" s="283">
        <v>0</v>
      </c>
      <c r="H17" s="277">
        <f t="shared" si="2"/>
        <v>0</v>
      </c>
    </row>
    <row r="18" spans="3:14" ht="15" x14ac:dyDescent="0.25">
      <c r="C18" s="355">
        <v>14</v>
      </c>
      <c r="D18" s="357" t="str">
        <f t="shared" si="0"/>
        <v>Sunday</v>
      </c>
      <c r="E18" s="282">
        <v>0</v>
      </c>
      <c r="F18" s="271">
        <v>0</v>
      </c>
      <c r="G18" s="283">
        <v>0</v>
      </c>
      <c r="H18" s="277">
        <f t="shared" si="2"/>
        <v>0</v>
      </c>
    </row>
    <row r="19" spans="3:14" ht="15" x14ac:dyDescent="0.25">
      <c r="C19" s="355">
        <v>15</v>
      </c>
      <c r="D19" s="357" t="str">
        <f t="shared" si="0"/>
        <v>Monday</v>
      </c>
      <c r="E19" s="282">
        <v>0</v>
      </c>
      <c r="F19" s="271">
        <v>0</v>
      </c>
      <c r="G19" s="283">
        <v>0</v>
      </c>
      <c r="H19" s="277">
        <f t="shared" si="2"/>
        <v>0</v>
      </c>
    </row>
    <row r="20" spans="3:14" ht="15" x14ac:dyDescent="0.25">
      <c r="C20" s="355">
        <v>16</v>
      </c>
      <c r="D20" s="357" t="str">
        <f t="shared" si="0"/>
        <v>Tuesday</v>
      </c>
      <c r="E20" s="282">
        <v>0</v>
      </c>
      <c r="F20" s="271">
        <v>0</v>
      </c>
      <c r="G20" s="283">
        <v>0</v>
      </c>
      <c r="H20" s="277">
        <f t="shared" si="2"/>
        <v>0</v>
      </c>
    </row>
    <row r="21" spans="3:14" ht="15" x14ac:dyDescent="0.25">
      <c r="C21" s="355">
        <v>17</v>
      </c>
      <c r="D21" s="357" t="str">
        <f t="shared" si="0"/>
        <v>Wednesday</v>
      </c>
      <c r="E21" s="282">
        <v>0</v>
      </c>
      <c r="F21" s="271">
        <v>0</v>
      </c>
      <c r="G21" s="283">
        <v>0</v>
      </c>
      <c r="H21" s="277">
        <f t="shared" si="2"/>
        <v>0</v>
      </c>
    </row>
    <row r="22" spans="3:14" ht="15" x14ac:dyDescent="0.25">
      <c r="C22" s="355">
        <v>18</v>
      </c>
      <c r="D22" s="357" t="str">
        <f t="shared" si="0"/>
        <v>Thursday</v>
      </c>
      <c r="E22" s="282">
        <v>0</v>
      </c>
      <c r="F22" s="271">
        <v>0</v>
      </c>
      <c r="G22" s="283">
        <v>0</v>
      </c>
      <c r="H22" s="277">
        <f t="shared" si="2"/>
        <v>0</v>
      </c>
    </row>
    <row r="23" spans="3:14" ht="15" x14ac:dyDescent="0.25">
      <c r="C23" s="355">
        <v>19</v>
      </c>
      <c r="D23" s="357" t="str">
        <f t="shared" si="0"/>
        <v>Friday</v>
      </c>
      <c r="E23" s="282">
        <v>0</v>
      </c>
      <c r="F23" s="271">
        <v>0</v>
      </c>
      <c r="G23" s="283">
        <v>0</v>
      </c>
      <c r="H23" s="277">
        <f t="shared" si="2"/>
        <v>0</v>
      </c>
    </row>
    <row r="24" spans="3:14" ht="15" x14ac:dyDescent="0.25">
      <c r="C24" s="355">
        <v>20</v>
      </c>
      <c r="D24" s="357" t="str">
        <f t="shared" si="0"/>
        <v>Saturday</v>
      </c>
      <c r="E24" s="282">
        <v>0</v>
      </c>
      <c r="F24" s="271">
        <v>0</v>
      </c>
      <c r="G24" s="283">
        <v>0</v>
      </c>
      <c r="H24" s="277">
        <f t="shared" si="2"/>
        <v>0</v>
      </c>
    </row>
    <row r="25" spans="3:14" ht="15" x14ac:dyDescent="0.25">
      <c r="C25" s="355">
        <v>21</v>
      </c>
      <c r="D25" s="357" t="str">
        <f t="shared" si="0"/>
        <v>Sunday</v>
      </c>
      <c r="E25" s="282">
        <v>0</v>
      </c>
      <c r="F25" s="271">
        <v>0</v>
      </c>
      <c r="G25" s="283">
        <v>0</v>
      </c>
      <c r="H25" s="277">
        <f t="shared" si="2"/>
        <v>0</v>
      </c>
    </row>
    <row r="26" spans="3:14" ht="15.6" thickBot="1" x14ac:dyDescent="0.3">
      <c r="C26" s="355">
        <v>22</v>
      </c>
      <c r="D26" s="357" t="str">
        <f t="shared" si="0"/>
        <v>Monday</v>
      </c>
      <c r="E26" s="282">
        <v>0</v>
      </c>
      <c r="F26" s="271">
        <v>0</v>
      </c>
      <c r="G26" s="283">
        <v>0</v>
      </c>
      <c r="H26" s="277">
        <f t="shared" si="2"/>
        <v>0</v>
      </c>
    </row>
    <row r="27" spans="3:14" ht="16.5" customHeight="1" x14ac:dyDescent="0.25">
      <c r="C27" s="355">
        <v>23</v>
      </c>
      <c r="D27" s="357" t="str">
        <f t="shared" si="0"/>
        <v>Tuesday</v>
      </c>
      <c r="E27" s="282">
        <v>0</v>
      </c>
      <c r="F27" s="271">
        <v>0</v>
      </c>
      <c r="G27" s="283">
        <v>0</v>
      </c>
      <c r="H27" s="277">
        <f t="shared" si="2"/>
        <v>0</v>
      </c>
      <c r="J27" s="379" t="s">
        <v>121</v>
      </c>
      <c r="K27" s="380"/>
      <c r="L27" s="380"/>
      <c r="M27" s="380"/>
      <c r="N27" s="381"/>
    </row>
    <row r="28" spans="3:14" ht="16.5" customHeight="1" thickBot="1" x14ac:dyDescent="0.3">
      <c r="C28" s="355">
        <v>24</v>
      </c>
      <c r="D28" s="357" t="str">
        <f t="shared" si="0"/>
        <v>Wednesday</v>
      </c>
      <c r="E28" s="282">
        <v>0</v>
      </c>
      <c r="F28" s="271">
        <v>0</v>
      </c>
      <c r="G28" s="283">
        <v>0</v>
      </c>
      <c r="H28" s="277">
        <f t="shared" si="2"/>
        <v>0</v>
      </c>
      <c r="J28" s="382"/>
      <c r="K28" s="383"/>
      <c r="L28" s="383"/>
      <c r="M28" s="383"/>
      <c r="N28" s="384"/>
    </row>
    <row r="29" spans="3:14" ht="15.75" customHeight="1" thickBot="1" x14ac:dyDescent="0.3">
      <c r="C29" s="355">
        <v>25</v>
      </c>
      <c r="D29" s="357" t="str">
        <f t="shared" si="0"/>
        <v>Thursday</v>
      </c>
      <c r="E29" s="282">
        <v>0</v>
      </c>
      <c r="F29" s="271">
        <v>0</v>
      </c>
      <c r="G29" s="283">
        <v>0</v>
      </c>
      <c r="H29" s="277">
        <f t="shared" si="2"/>
        <v>0</v>
      </c>
      <c r="J29" s="325"/>
      <c r="K29" s="326" t="s">
        <v>101</v>
      </c>
      <c r="L29" s="326" t="s">
        <v>12</v>
      </c>
      <c r="M29" s="326" t="s">
        <v>13</v>
      </c>
      <c r="N29" s="327" t="s">
        <v>122</v>
      </c>
    </row>
    <row r="30" spans="3:14" ht="15.6" x14ac:dyDescent="0.3">
      <c r="C30" s="355">
        <v>26</v>
      </c>
      <c r="D30" s="357" t="str">
        <f t="shared" si="0"/>
        <v>Friday</v>
      </c>
      <c r="E30" s="282">
        <v>0</v>
      </c>
      <c r="F30" s="271">
        <v>0</v>
      </c>
      <c r="G30" s="283">
        <v>0</v>
      </c>
      <c r="H30" s="277">
        <f t="shared" si="2"/>
        <v>0</v>
      </c>
      <c r="J30" s="343" t="s">
        <v>112</v>
      </c>
      <c r="K30" s="346">
        <f t="shared" ref="K30:K36" si="5">AVERAGEIF(D$5:D$35,J30,E$5:E$35)</f>
        <v>0</v>
      </c>
      <c r="L30" s="341">
        <f t="shared" ref="L30:L36" si="6">AVERAGEIF(D$5:D$35,J30,F$5:F$35)</f>
        <v>0</v>
      </c>
      <c r="M30" s="341">
        <f t="shared" ref="M30:M36" si="7">AVERAGEIF(D$5:D$35,J30,G$5:G$35)</f>
        <v>0</v>
      </c>
      <c r="N30" s="351">
        <f>AVERAGE(K30:M30)</f>
        <v>0</v>
      </c>
    </row>
    <row r="31" spans="3:14" ht="15.6" x14ac:dyDescent="0.3">
      <c r="C31" s="355">
        <v>27</v>
      </c>
      <c r="D31" s="357" t="str">
        <f t="shared" si="0"/>
        <v>Saturday</v>
      </c>
      <c r="E31" s="282">
        <v>0</v>
      </c>
      <c r="F31" s="271">
        <v>0</v>
      </c>
      <c r="G31" s="283">
        <v>0</v>
      </c>
      <c r="H31" s="277">
        <f t="shared" si="2"/>
        <v>0</v>
      </c>
      <c r="J31" s="344" t="s">
        <v>113</v>
      </c>
      <c r="K31" s="347">
        <f t="shared" si="5"/>
        <v>0</v>
      </c>
      <c r="L31" s="342">
        <f t="shared" si="6"/>
        <v>0</v>
      </c>
      <c r="M31" s="342">
        <f t="shared" si="7"/>
        <v>0</v>
      </c>
      <c r="N31" s="352">
        <f>AVERAGE(K31:M31)</f>
        <v>0</v>
      </c>
    </row>
    <row r="32" spans="3:14" ht="15.6" x14ac:dyDescent="0.3">
      <c r="C32" s="355">
        <v>28</v>
      </c>
      <c r="D32" s="357" t="str">
        <f t="shared" si="0"/>
        <v>Sunday</v>
      </c>
      <c r="E32" s="282">
        <v>0</v>
      </c>
      <c r="F32" s="271">
        <v>0</v>
      </c>
      <c r="G32" s="283">
        <v>0</v>
      </c>
      <c r="H32" s="277">
        <f t="shared" si="2"/>
        <v>0</v>
      </c>
      <c r="J32" s="344" t="s">
        <v>114</v>
      </c>
      <c r="K32" s="347">
        <f t="shared" si="5"/>
        <v>0</v>
      </c>
      <c r="L32" s="342">
        <f t="shared" si="6"/>
        <v>0</v>
      </c>
      <c r="M32" s="342">
        <f t="shared" si="7"/>
        <v>0</v>
      </c>
      <c r="N32" s="352">
        <f t="shared" ref="N32:N36" si="8">AVERAGE(K32:M32)</f>
        <v>0</v>
      </c>
    </row>
    <row r="33" spans="3:14" ht="15.6" x14ac:dyDescent="0.3">
      <c r="C33" s="355">
        <v>29</v>
      </c>
      <c r="D33" s="357" t="str">
        <f t="shared" si="0"/>
        <v>Monday</v>
      </c>
      <c r="E33" s="282">
        <v>0</v>
      </c>
      <c r="F33" s="271">
        <v>0</v>
      </c>
      <c r="G33" s="283">
        <v>0</v>
      </c>
      <c r="H33" s="277">
        <f t="shared" si="2"/>
        <v>0</v>
      </c>
      <c r="J33" s="344" t="s">
        <v>115</v>
      </c>
      <c r="K33" s="347">
        <f t="shared" si="5"/>
        <v>0</v>
      </c>
      <c r="L33" s="342">
        <f t="shared" si="6"/>
        <v>0</v>
      </c>
      <c r="M33" s="342">
        <f t="shared" si="7"/>
        <v>0</v>
      </c>
      <c r="N33" s="352">
        <f t="shared" si="8"/>
        <v>0</v>
      </c>
    </row>
    <row r="34" spans="3:14" ht="15.6" x14ac:dyDescent="0.3">
      <c r="C34" s="355">
        <v>30</v>
      </c>
      <c r="D34" s="357" t="str">
        <f t="shared" si="0"/>
        <v>Tuesday</v>
      </c>
      <c r="E34" s="282">
        <v>0</v>
      </c>
      <c r="F34" s="271">
        <v>0</v>
      </c>
      <c r="G34" s="283">
        <v>0</v>
      </c>
      <c r="H34" s="277">
        <f t="shared" si="2"/>
        <v>0</v>
      </c>
      <c r="J34" s="344" t="s">
        <v>116</v>
      </c>
      <c r="K34" s="347">
        <f t="shared" si="5"/>
        <v>0</v>
      </c>
      <c r="L34" s="342">
        <f t="shared" si="6"/>
        <v>0</v>
      </c>
      <c r="M34" s="342">
        <f t="shared" si="7"/>
        <v>0</v>
      </c>
      <c r="N34" s="352">
        <f t="shared" si="8"/>
        <v>0</v>
      </c>
    </row>
    <row r="35" spans="3:14" ht="16.2" thickBot="1" x14ac:dyDescent="0.35">
      <c r="C35" s="356">
        <v>31</v>
      </c>
      <c r="D35" s="357" t="str">
        <f t="shared" si="0"/>
        <v>Wednesday</v>
      </c>
      <c r="E35" s="284">
        <v>0</v>
      </c>
      <c r="F35" s="272">
        <v>0</v>
      </c>
      <c r="G35" s="285">
        <v>0</v>
      </c>
      <c r="H35" s="278">
        <f t="shared" si="2"/>
        <v>0</v>
      </c>
      <c r="J35" s="344" t="s">
        <v>117</v>
      </c>
      <c r="K35" s="347">
        <f t="shared" si="5"/>
        <v>0</v>
      </c>
      <c r="L35" s="342">
        <f t="shared" si="6"/>
        <v>0</v>
      </c>
      <c r="M35" s="342">
        <f t="shared" si="7"/>
        <v>0</v>
      </c>
      <c r="N35" s="352">
        <f t="shared" si="8"/>
        <v>0</v>
      </c>
    </row>
    <row r="36" spans="3:14" ht="16.5" customHeight="1" thickBot="1" x14ac:dyDescent="0.35">
      <c r="C36" s="391" t="s">
        <v>124</v>
      </c>
      <c r="D36" s="392"/>
      <c r="E36" s="286">
        <f>SUM(E5:E35)</f>
        <v>0</v>
      </c>
      <c r="F36" s="287">
        <f t="shared" ref="F36:H36" si="9">SUM(F5:F35)</f>
        <v>0</v>
      </c>
      <c r="G36" s="288">
        <f t="shared" si="9"/>
        <v>0</v>
      </c>
      <c r="H36" s="289">
        <f t="shared" si="9"/>
        <v>0</v>
      </c>
      <c r="J36" s="345" t="s">
        <v>118</v>
      </c>
      <c r="K36" s="348">
        <f t="shared" si="5"/>
        <v>0</v>
      </c>
      <c r="L36" s="349">
        <f t="shared" si="6"/>
        <v>0</v>
      </c>
      <c r="M36" s="349">
        <f t="shared" si="7"/>
        <v>0</v>
      </c>
      <c r="N36" s="352">
        <f t="shared" si="8"/>
        <v>0</v>
      </c>
    </row>
    <row r="37" spans="3:14" ht="16.5" customHeight="1" thickBot="1" x14ac:dyDescent="0.35">
      <c r="D37" s="270"/>
      <c r="J37" s="350" t="s">
        <v>122</v>
      </c>
      <c r="K37" s="354">
        <f>AVERAGE(K30:K36)</f>
        <v>0</v>
      </c>
      <c r="L37" s="354">
        <f t="shared" ref="L37:M37" si="10">AVERAGE(L30:L36)</f>
        <v>0</v>
      </c>
      <c r="M37" s="354">
        <f t="shared" si="10"/>
        <v>0</v>
      </c>
      <c r="N37" s="353"/>
    </row>
    <row r="38" spans="3:14" ht="16.5" customHeight="1" x14ac:dyDescent="0.25">
      <c r="D38" s="270"/>
    </row>
    <row r="39" spans="3:14" ht="16.5" customHeight="1" x14ac:dyDescent="0.25">
      <c r="D39" s="270"/>
    </row>
    <row r="40" spans="3:14" ht="16.5" customHeight="1" x14ac:dyDescent="0.25">
      <c r="D40" s="270"/>
    </row>
    <row r="41" spans="3:14" ht="16.5" customHeight="1" x14ac:dyDescent="0.25">
      <c r="D41" s="270"/>
    </row>
    <row r="42" spans="3:14" ht="16.5" customHeight="1" x14ac:dyDescent="0.25">
      <c r="D42" s="270"/>
    </row>
    <row r="43" spans="3:14" ht="16.5" customHeight="1" x14ac:dyDescent="0.25">
      <c r="D43" s="270"/>
    </row>
    <row r="44" spans="3:14" ht="16.5" customHeight="1" x14ac:dyDescent="0.25">
      <c r="D44" s="270"/>
    </row>
    <row r="45" spans="3:14" ht="16.5" customHeight="1" x14ac:dyDescent="0.25"/>
    <row r="46" spans="3:14" ht="16.5" customHeight="1" x14ac:dyDescent="0.25"/>
    <row r="47" spans="3:14" ht="16.5" customHeight="1" x14ac:dyDescent="0.25"/>
    <row r="48" spans="3:14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</sheetData>
  <sheetProtection sheet="1" objects="1" scenarios="1" selectLockedCells="1"/>
  <customSheetViews>
    <customSheetView guid="{7982FB7F-E997-4C70-8B2B-B628B46385D2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E9A9889A-61F5-47D0-A5C6-BF43493EDD61}" showGridLines="0" showRowCol="0" topLeftCell="A5">
      <selection activeCell="F5" sqref="F5:H35"/>
    </customSheetView>
  </customSheetViews>
  <mergeCells count="4">
    <mergeCell ref="J27:N28"/>
    <mergeCell ref="J3:N3"/>
    <mergeCell ref="C3:H3"/>
    <mergeCell ref="C36:D36"/>
  </mergeCells>
  <conditionalFormatting sqref="E5:G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09375" defaultRowHeight="15" x14ac:dyDescent="0.25"/>
  <cols>
    <col min="1" max="1" width="4.44140625" style="58" customWidth="1"/>
    <col min="2" max="2" width="4.6640625" style="58" customWidth="1"/>
    <col min="3" max="3" width="7.6640625" style="58" customWidth="1"/>
    <col min="4" max="9" width="8.6640625" style="58" customWidth="1"/>
    <col min="10" max="10" width="13" style="58" customWidth="1"/>
    <col min="11" max="16384" width="9.109375" style="58"/>
  </cols>
  <sheetData>
    <row r="1" spans="3:10" ht="15.6" thickBot="1" x14ac:dyDescent="0.3"/>
    <row r="2" spans="3:10" ht="15.6" x14ac:dyDescent="0.25">
      <c r="C2" s="393" t="str">
        <f xml:space="preserve"> "VEHICLES WITH FRUIT PASSING THROUGH " &amp; Location</f>
        <v>VEHICLES WITH FRUIT PASSING THROUGH OODLA WIRRA</v>
      </c>
      <c r="D2" s="394"/>
      <c r="E2" s="394"/>
      <c r="F2" s="394"/>
      <c r="G2" s="394"/>
      <c r="H2" s="394"/>
      <c r="I2" s="394"/>
      <c r="J2" s="395"/>
    </row>
    <row r="3" spans="3:10" ht="16.2" thickBot="1" x14ac:dyDescent="0.3">
      <c r="C3" s="396" t="str">
        <f>Month &amp; " " &amp; Year</f>
        <v>July 2019</v>
      </c>
      <c r="D3" s="397"/>
      <c r="E3" s="397"/>
      <c r="F3" s="397"/>
      <c r="G3" s="397"/>
      <c r="H3" s="397"/>
      <c r="I3" s="397"/>
      <c r="J3" s="398"/>
    </row>
    <row r="4" spans="3:10" s="60" customFormat="1" ht="31.8" thickBot="1" x14ac:dyDescent="0.3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6" x14ac:dyDescent="0.3">
      <c r="C5" s="61">
        <v>1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1">
        <v>0</v>
      </c>
      <c r="J5" s="62">
        <f t="shared" ref="J5:J35" si="0">SUM(D5:I5)</f>
        <v>0</v>
      </c>
    </row>
    <row r="6" spans="3:10" ht="15.6" x14ac:dyDescent="0.3">
      <c r="C6" s="6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64">
        <f t="shared" si="0"/>
        <v>0</v>
      </c>
    </row>
    <row r="7" spans="3:10" ht="15.6" x14ac:dyDescent="0.3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6" x14ac:dyDescent="0.3">
      <c r="C8" s="6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64">
        <f t="shared" si="0"/>
        <v>0</v>
      </c>
    </row>
    <row r="9" spans="3:10" ht="15.6" x14ac:dyDescent="0.3">
      <c r="C9" s="6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64">
        <f t="shared" si="0"/>
        <v>0</v>
      </c>
    </row>
    <row r="10" spans="3:10" ht="15.6" x14ac:dyDescent="0.3">
      <c r="C10" s="6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64">
        <f t="shared" si="0"/>
        <v>0</v>
      </c>
    </row>
    <row r="11" spans="3:10" ht="15.6" x14ac:dyDescent="0.3">
      <c r="C11" s="6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64">
        <f t="shared" si="0"/>
        <v>0</v>
      </c>
    </row>
    <row r="12" spans="3:10" ht="15.6" x14ac:dyDescent="0.3">
      <c r="C12" s="6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64">
        <f t="shared" si="0"/>
        <v>0</v>
      </c>
    </row>
    <row r="13" spans="3:10" ht="15.6" x14ac:dyDescent="0.3">
      <c r="C13" s="6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64">
        <f t="shared" si="0"/>
        <v>0</v>
      </c>
    </row>
    <row r="14" spans="3:10" ht="15.6" x14ac:dyDescent="0.3">
      <c r="C14" s="6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64">
        <f t="shared" si="0"/>
        <v>0</v>
      </c>
    </row>
    <row r="15" spans="3:10" ht="15.6" x14ac:dyDescent="0.3">
      <c r="C15" s="6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64">
        <f t="shared" si="0"/>
        <v>0</v>
      </c>
    </row>
    <row r="16" spans="3:10" ht="15.6" x14ac:dyDescent="0.3">
      <c r="C16" s="6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64">
        <f t="shared" si="0"/>
        <v>0</v>
      </c>
    </row>
    <row r="17" spans="3:10" ht="15.6" x14ac:dyDescent="0.3">
      <c r="C17" s="6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64">
        <f t="shared" si="0"/>
        <v>0</v>
      </c>
    </row>
    <row r="18" spans="3:10" ht="15.6" x14ac:dyDescent="0.3">
      <c r="C18" s="6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64">
        <f t="shared" si="0"/>
        <v>0</v>
      </c>
    </row>
    <row r="19" spans="3:10" ht="15.6" x14ac:dyDescent="0.3">
      <c r="C19" s="6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64">
        <f t="shared" si="0"/>
        <v>0</v>
      </c>
    </row>
    <row r="20" spans="3:10" ht="15.6" x14ac:dyDescent="0.3">
      <c r="C20" s="6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64">
        <f t="shared" si="0"/>
        <v>0</v>
      </c>
    </row>
    <row r="21" spans="3:10" ht="15.6" x14ac:dyDescent="0.3">
      <c r="C21" s="6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64">
        <f t="shared" si="0"/>
        <v>0</v>
      </c>
    </row>
    <row r="22" spans="3:10" ht="15.6" x14ac:dyDescent="0.3">
      <c r="C22" s="6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64">
        <f t="shared" si="0"/>
        <v>0</v>
      </c>
    </row>
    <row r="23" spans="3:10" ht="15.6" x14ac:dyDescent="0.3">
      <c r="C23" s="6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64">
        <f t="shared" si="0"/>
        <v>0</v>
      </c>
    </row>
    <row r="24" spans="3:10" ht="15.6" x14ac:dyDescent="0.3">
      <c r="C24" s="6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64">
        <f t="shared" si="0"/>
        <v>0</v>
      </c>
    </row>
    <row r="25" spans="3:10" ht="15.6" x14ac:dyDescent="0.3">
      <c r="C25" s="6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64">
        <f t="shared" si="0"/>
        <v>0</v>
      </c>
    </row>
    <row r="26" spans="3:10" ht="15.6" x14ac:dyDescent="0.3">
      <c r="C26" s="6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64">
        <f t="shared" si="0"/>
        <v>0</v>
      </c>
    </row>
    <row r="27" spans="3:10" ht="15.6" x14ac:dyDescent="0.3">
      <c r="C27" s="6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64">
        <f t="shared" si="0"/>
        <v>0</v>
      </c>
    </row>
    <row r="28" spans="3:10" ht="15.6" x14ac:dyDescent="0.3">
      <c r="C28" s="6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4">
        <f t="shared" si="0"/>
        <v>0</v>
      </c>
    </row>
    <row r="29" spans="3:10" ht="15.6" x14ac:dyDescent="0.3">
      <c r="C29" s="6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64">
        <f t="shared" si="0"/>
        <v>0</v>
      </c>
    </row>
    <row r="30" spans="3:10" ht="15.6" x14ac:dyDescent="0.3">
      <c r="C30" s="6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64">
        <f t="shared" si="0"/>
        <v>0</v>
      </c>
    </row>
    <row r="31" spans="3:10" ht="15.6" x14ac:dyDescent="0.3">
      <c r="C31" s="6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64">
        <f t="shared" si="0"/>
        <v>0</v>
      </c>
    </row>
    <row r="32" spans="3:10" ht="15.6" x14ac:dyDescent="0.3">
      <c r="C32" s="6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64">
        <f t="shared" si="0"/>
        <v>0</v>
      </c>
    </row>
    <row r="33" spans="3:10" ht="15.6" x14ac:dyDescent="0.3">
      <c r="C33" s="6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64">
        <f t="shared" si="0"/>
        <v>0</v>
      </c>
    </row>
    <row r="34" spans="3:10" ht="15.6" x14ac:dyDescent="0.3">
      <c r="C34" s="6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64">
        <f t="shared" si="0"/>
        <v>0</v>
      </c>
    </row>
    <row r="35" spans="3:10" ht="16.2" thickBot="1" x14ac:dyDescent="0.35">
      <c r="C35" s="6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66">
        <f t="shared" si="0"/>
        <v>0</v>
      </c>
    </row>
    <row r="36" spans="3:10" x14ac:dyDescent="0.25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6" x14ac:dyDescent="0.3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0</v>
      </c>
      <c r="I37" s="69">
        <f t="shared" si="1"/>
        <v>0</v>
      </c>
      <c r="J37" s="69">
        <f t="shared" si="1"/>
        <v>0</v>
      </c>
    </row>
    <row r="38" spans="3:10" x14ac:dyDescent="0.25">
      <c r="D38" s="67"/>
      <c r="E38" s="67"/>
      <c r="F38" s="67"/>
      <c r="G38" s="67"/>
      <c r="H38" s="67"/>
      <c r="I38" s="67"/>
      <c r="J38" s="67"/>
    </row>
    <row r="39" spans="3:10" x14ac:dyDescent="0.25">
      <c r="D39" s="70" t="e">
        <f t="shared" ref="D39:I39" si="2">+D37/$J$37%</f>
        <v>#DIV/0!</v>
      </c>
      <c r="E39" s="70" t="e">
        <f t="shared" si="2"/>
        <v>#DIV/0!</v>
      </c>
      <c r="F39" s="70" t="e">
        <f t="shared" si="2"/>
        <v>#DIV/0!</v>
      </c>
      <c r="G39" s="70" t="e">
        <f t="shared" si="2"/>
        <v>#DIV/0!</v>
      </c>
      <c r="H39" s="70" t="e">
        <f t="shared" si="2"/>
        <v>#DIV/0!</v>
      </c>
      <c r="I39" s="70" t="e">
        <f t="shared" si="2"/>
        <v>#DIV/0!</v>
      </c>
      <c r="J39" s="70" t="e">
        <f>SUM(D39+E39+F39+G39+H39+I39)</f>
        <v>#DIV/0!</v>
      </c>
    </row>
    <row r="40" spans="3:10" x14ac:dyDescent="0.25">
      <c r="D40" s="67"/>
      <c r="E40" s="67"/>
      <c r="F40" s="67"/>
      <c r="G40" s="67"/>
      <c r="H40" s="67"/>
      <c r="I40" s="67"/>
      <c r="J40" s="67"/>
    </row>
    <row r="41" spans="3:10" x14ac:dyDescent="0.25">
      <c r="D41" s="67"/>
      <c r="E41" s="67"/>
      <c r="F41" s="67"/>
      <c r="G41" s="67"/>
      <c r="H41" s="67"/>
      <c r="I41" s="67"/>
      <c r="J41" s="67"/>
    </row>
    <row r="42" spans="3:10" x14ac:dyDescent="0.25">
      <c r="D42" s="67"/>
      <c r="E42" s="67"/>
      <c r="F42" s="67"/>
      <c r="G42" s="67"/>
      <c r="H42" s="67"/>
      <c r="I42" s="67"/>
      <c r="J42" s="67"/>
    </row>
    <row r="43" spans="3:10" x14ac:dyDescent="0.25">
      <c r="D43" s="67"/>
      <c r="E43" s="67"/>
      <c r="F43" s="67"/>
      <c r="G43" s="67"/>
      <c r="H43" s="67"/>
      <c r="I43" s="67"/>
      <c r="J43" s="67"/>
    </row>
    <row r="44" spans="3:10" x14ac:dyDescent="0.25">
      <c r="D44" s="67"/>
      <c r="E44" s="67"/>
      <c r="F44" s="67"/>
      <c r="G44" s="67"/>
      <c r="H44" s="67"/>
      <c r="I44" s="67"/>
      <c r="J44" s="67"/>
    </row>
    <row r="45" spans="3:10" x14ac:dyDescent="0.25">
      <c r="D45" s="67"/>
      <c r="E45" s="67"/>
      <c r="F45" s="67"/>
      <c r="G45" s="67"/>
      <c r="H45" s="67"/>
      <c r="I45" s="67"/>
      <c r="J45" s="67"/>
    </row>
    <row r="46" spans="3:10" x14ac:dyDescent="0.25">
      <c r="D46" s="67"/>
      <c r="E46" s="67"/>
      <c r="F46" s="67"/>
      <c r="G46" s="67"/>
      <c r="H46" s="67"/>
      <c r="I46" s="67"/>
      <c r="J46" s="67"/>
    </row>
    <row r="47" spans="3:10" x14ac:dyDescent="0.25">
      <c r="D47" s="67"/>
      <c r="E47" s="67"/>
      <c r="F47" s="67"/>
      <c r="G47" s="67"/>
      <c r="H47" s="67"/>
      <c r="I47" s="67"/>
      <c r="J47" s="67"/>
    </row>
    <row r="48" spans="3:10" x14ac:dyDescent="0.25">
      <c r="D48" s="67"/>
      <c r="E48" s="67"/>
      <c r="F48" s="67"/>
      <c r="G48" s="67"/>
      <c r="H48" s="67"/>
      <c r="I48" s="67"/>
      <c r="J48" s="67"/>
    </row>
    <row r="49" spans="4:10" x14ac:dyDescent="0.25">
      <c r="D49" s="67"/>
      <c r="E49" s="67"/>
      <c r="F49" s="67"/>
      <c r="G49" s="67"/>
      <c r="H49" s="67"/>
      <c r="I49" s="67"/>
      <c r="J49" s="67"/>
    </row>
    <row r="50" spans="4:10" x14ac:dyDescent="0.25">
      <c r="D50" s="67"/>
      <c r="E50" s="67"/>
      <c r="F50" s="67"/>
      <c r="G50" s="67"/>
      <c r="H50" s="67"/>
      <c r="I50" s="67"/>
      <c r="J50" s="67"/>
    </row>
    <row r="51" spans="4:10" x14ac:dyDescent="0.25">
      <c r="D51" s="67"/>
      <c r="E51" s="67"/>
      <c r="F51" s="67"/>
      <c r="G51" s="67"/>
      <c r="H51" s="67"/>
      <c r="I51" s="67"/>
      <c r="J51" s="67"/>
    </row>
    <row r="52" spans="4:10" x14ac:dyDescent="0.25">
      <c r="D52" s="67"/>
      <c r="E52" s="67"/>
      <c r="F52" s="67"/>
      <c r="G52" s="67"/>
      <c r="H52" s="67"/>
      <c r="I52" s="67"/>
      <c r="J52" s="67"/>
    </row>
    <row r="53" spans="4:10" x14ac:dyDescent="0.25">
      <c r="D53" s="67"/>
      <c r="E53" s="67"/>
      <c r="F53" s="67"/>
      <c r="G53" s="67"/>
      <c r="H53" s="67"/>
      <c r="I53" s="67"/>
      <c r="J53" s="67"/>
    </row>
    <row r="54" spans="4:10" x14ac:dyDescent="0.25">
      <c r="D54" s="67"/>
      <c r="E54" s="67"/>
      <c r="F54" s="67"/>
      <c r="G54" s="67"/>
      <c r="H54" s="67"/>
      <c r="I54" s="67"/>
      <c r="J54" s="67"/>
    </row>
    <row r="55" spans="4:10" x14ac:dyDescent="0.25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9679493F-7CDF-46D6-BE72-B12FE11A478F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E9A9889A-61F5-47D0-A5C6-BF43493EDD61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8671875" defaultRowHeight="13.2" x14ac:dyDescent="0.25"/>
  <cols>
    <col min="1" max="3" width="4.6640625" style="101" customWidth="1"/>
    <col min="4" max="16384" width="8.88671875" style="101"/>
  </cols>
  <sheetData>
    <row r="2" spans="3:9" ht="17.399999999999999" x14ac:dyDescent="0.3">
      <c r="C2" s="108" t="str">
        <f>Location &amp; " Roadblock - Totals to the end of last month"</f>
        <v>OODLA WIRRA Roadblock - Totals to the end of last month</v>
      </c>
      <c r="D2" s="109"/>
      <c r="E2" s="109"/>
      <c r="F2" s="108"/>
    </row>
    <row r="3" spans="3:9" ht="15.6" thickBot="1" x14ac:dyDescent="0.3">
      <c r="E3" s="102"/>
    </row>
    <row r="4" spans="3:9" ht="15.6" thickBot="1" x14ac:dyDescent="0.3">
      <c r="C4" s="103"/>
      <c r="D4" s="104"/>
      <c r="E4" s="265"/>
      <c r="F4" s="104"/>
      <c r="G4" s="263" t="s">
        <v>96</v>
      </c>
      <c r="H4" s="309"/>
    </row>
    <row r="5" spans="3:9" ht="15.6" thickBot="1" x14ac:dyDescent="0.3">
      <c r="C5" s="103"/>
      <c r="D5" s="104"/>
      <c r="E5" s="104"/>
      <c r="F5" s="104"/>
      <c r="G5" s="105" t="s">
        <v>98</v>
      </c>
      <c r="H5" s="266"/>
    </row>
    <row r="6" spans="3:9" ht="15.6" thickBot="1" x14ac:dyDescent="0.3">
      <c r="C6" s="103"/>
      <c r="D6" s="104"/>
      <c r="E6" s="104"/>
      <c r="F6" s="104"/>
      <c r="G6" s="303" t="s">
        <v>108</v>
      </c>
      <c r="H6" s="266"/>
    </row>
    <row r="7" spans="3:9" ht="15.6" thickBot="1" x14ac:dyDescent="0.3">
      <c r="C7" s="103"/>
      <c r="D7" s="104"/>
      <c r="E7" s="104"/>
      <c r="F7" s="104"/>
      <c r="G7" s="105" t="s">
        <v>97</v>
      </c>
      <c r="H7" s="266"/>
    </row>
    <row r="8" spans="3:9" ht="15.6" thickBot="1" x14ac:dyDescent="0.3">
      <c r="C8" s="103"/>
      <c r="D8" s="104"/>
      <c r="E8" s="104"/>
      <c r="F8" s="104"/>
      <c r="G8" s="105" t="s">
        <v>31</v>
      </c>
      <c r="H8" s="266"/>
    </row>
    <row r="9" spans="3:9" ht="15.6" thickBot="1" x14ac:dyDescent="0.3">
      <c r="G9" s="106"/>
      <c r="H9" s="107"/>
    </row>
    <row r="10" spans="3:9" ht="15.6" thickBot="1" x14ac:dyDescent="0.3">
      <c r="C10" s="103"/>
      <c r="D10" s="104"/>
      <c r="E10" s="104"/>
      <c r="F10" s="104"/>
      <c r="G10" s="105" t="s">
        <v>40</v>
      </c>
      <c r="H10" s="309"/>
    </row>
    <row r="11" spans="3:9" ht="15.6" thickBot="1" x14ac:dyDescent="0.3">
      <c r="C11" s="103"/>
      <c r="D11" s="104"/>
      <c r="E11" s="104"/>
      <c r="F11" s="104"/>
      <c r="G11" s="105" t="s">
        <v>39</v>
      </c>
      <c r="H11" s="309"/>
    </row>
    <row r="12" spans="3:9" ht="15.6" thickBot="1" x14ac:dyDescent="0.3">
      <c r="C12" s="103"/>
      <c r="D12" s="104"/>
      <c r="E12" s="104"/>
      <c r="F12" s="104"/>
      <c r="G12" s="105" t="s">
        <v>32</v>
      </c>
      <c r="H12" s="310">
        <f>SUM(H10:H11)</f>
        <v>0</v>
      </c>
    </row>
    <row r="13" spans="3:9" ht="15.6" thickBot="1" x14ac:dyDescent="0.3">
      <c r="I13" s="106"/>
    </row>
    <row r="14" spans="3:9" ht="15.6" thickBot="1" x14ac:dyDescent="0.3">
      <c r="C14" s="103"/>
      <c r="D14" s="104"/>
      <c r="E14" s="104"/>
      <c r="F14" s="104"/>
      <c r="G14" s="105" t="s">
        <v>33</v>
      </c>
      <c r="H14" s="266"/>
    </row>
    <row r="15" spans="3:9" ht="15.6" thickBot="1" x14ac:dyDescent="0.3">
      <c r="C15" s="103"/>
      <c r="D15" s="104"/>
      <c r="E15" s="104"/>
      <c r="F15" s="104"/>
      <c r="G15" s="105" t="s">
        <v>34</v>
      </c>
      <c r="H15" s="266"/>
    </row>
    <row r="16" spans="3:9" ht="15.6" thickBot="1" x14ac:dyDescent="0.3">
      <c r="C16" s="103"/>
      <c r="D16" s="104"/>
      <c r="E16" s="104"/>
      <c r="F16" s="104"/>
      <c r="G16" s="105" t="s">
        <v>35</v>
      </c>
      <c r="H16" s="266"/>
    </row>
    <row r="17" spans="3:8" ht="15.6" thickBot="1" x14ac:dyDescent="0.3">
      <c r="C17" s="103"/>
      <c r="D17" s="104"/>
      <c r="E17" s="104"/>
      <c r="F17" s="104"/>
      <c r="G17" s="105" t="s">
        <v>36</v>
      </c>
      <c r="H17" s="266"/>
    </row>
    <row r="18" spans="3:8" ht="15.6" thickBot="1" x14ac:dyDescent="0.3">
      <c r="C18" s="103"/>
      <c r="D18" s="104"/>
      <c r="E18" s="104"/>
      <c r="F18" s="104"/>
      <c r="G18" s="105" t="s">
        <v>44</v>
      </c>
      <c r="H18" s="110">
        <f>SUM(H14:H17)</f>
        <v>0</v>
      </c>
    </row>
    <row r="19" spans="3:8" ht="15.6" thickBot="1" x14ac:dyDescent="0.3">
      <c r="C19" s="251"/>
      <c r="D19" s="251"/>
      <c r="E19" s="251"/>
      <c r="F19" s="251"/>
      <c r="G19" s="252"/>
      <c r="H19" s="253"/>
    </row>
    <row r="20" spans="3:8" ht="15.6" thickBot="1" x14ac:dyDescent="0.3">
      <c r="C20" s="103"/>
      <c r="D20" s="104"/>
      <c r="E20" s="104"/>
      <c r="F20" s="104"/>
      <c r="G20" s="244" t="s">
        <v>90</v>
      </c>
      <c r="H20" s="256"/>
    </row>
    <row r="21" spans="3:8" ht="13.8" thickBot="1" x14ac:dyDescent="0.3"/>
    <row r="22" spans="3:8" ht="15.6" thickBot="1" x14ac:dyDescent="0.3">
      <c r="C22" s="399" t="s">
        <v>86</v>
      </c>
      <c r="D22" s="400"/>
      <c r="E22" s="400"/>
      <c r="F22" s="400"/>
      <c r="G22" s="401"/>
      <c r="H22" s="245"/>
    </row>
  </sheetData>
  <sheetProtection sheet="1" objects="1" scenarios="1" selectLockedCells="1"/>
  <customSheetViews>
    <customSheetView guid="{9679493F-7CDF-46D6-BE72-B12FE11A478F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E9A9889A-61F5-47D0-A5C6-BF43493EDD61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09375" defaultRowHeight="14.4" x14ac:dyDescent="0.3"/>
  <cols>
    <col min="1" max="1" width="9.109375" style="232"/>
    <col min="2" max="2" width="9.109375" style="232" customWidth="1"/>
    <col min="3" max="6" width="14.6640625" style="232" customWidth="1"/>
    <col min="7" max="16384" width="9.109375" style="232"/>
  </cols>
  <sheetData>
    <row r="1" spans="2:6" s="223" customFormat="1" x14ac:dyDescent="0.3"/>
    <row r="2" spans="2:6" s="223" customFormat="1" ht="23.4" x14ac:dyDescent="0.45">
      <c r="C2" s="246" t="s">
        <v>87</v>
      </c>
      <c r="D2" s="246"/>
    </row>
    <row r="3" spans="2:6" s="223" customFormat="1" ht="15" thickBot="1" x14ac:dyDescent="0.35"/>
    <row r="4" spans="2:6" s="223" customFormat="1" ht="15" thickTop="1" x14ac:dyDescent="0.3">
      <c r="B4" s="224" t="s">
        <v>80</v>
      </c>
      <c r="C4" s="247">
        <f>PBal -F5+F4</f>
        <v>0</v>
      </c>
      <c r="E4" s="224" t="s">
        <v>81</v>
      </c>
      <c r="F4" s="225">
        <f>SUM(E10:E34)</f>
        <v>0</v>
      </c>
    </row>
    <row r="5" spans="2:6" s="223" customFormat="1" ht="15" thickBot="1" x14ac:dyDescent="0.35">
      <c r="B5" s="226" t="s">
        <v>82</v>
      </c>
      <c r="C5" s="227">
        <f>PreviousFoodlandBalance</f>
        <v>0</v>
      </c>
      <c r="E5" s="226" t="s">
        <v>83</v>
      </c>
      <c r="F5" s="227">
        <f>SUM(D10:D34)</f>
        <v>0</v>
      </c>
    </row>
    <row r="6" spans="2:6" s="223" customFormat="1" ht="8.25" customHeight="1" thickTop="1" x14ac:dyDescent="0.3">
      <c r="B6" s="228"/>
      <c r="C6" s="268"/>
      <c r="E6" s="228"/>
      <c r="F6" s="229"/>
    </row>
    <row r="7" spans="2:6" s="230" customFormat="1" ht="8.25" customHeight="1" thickBot="1" x14ac:dyDescent="0.35">
      <c r="C7" s="269"/>
      <c r="F7" s="231"/>
    </row>
    <row r="8" spans="2:6" ht="15.6" thickTop="1" thickBot="1" x14ac:dyDescent="0.35"/>
    <row r="9" spans="2:6" ht="15.6" thickTop="1" thickBot="1" x14ac:dyDescent="0.35">
      <c r="C9" s="233" t="s">
        <v>84</v>
      </c>
      <c r="D9" s="267" t="s">
        <v>99</v>
      </c>
      <c r="E9" s="267" t="s">
        <v>100</v>
      </c>
      <c r="F9" s="234" t="s">
        <v>85</v>
      </c>
    </row>
    <row r="10" spans="2:6" ht="15" thickTop="1" x14ac:dyDescent="0.3">
      <c r="C10" s="235"/>
      <c r="D10" s="236"/>
      <c r="E10" s="236"/>
      <c r="F10" s="225" t="str">
        <f>IF(OR(D10&lt;&gt;0,E10&lt;&gt;0),PBal-D10+E10,"")</f>
        <v/>
      </c>
    </row>
    <row r="11" spans="2:6" x14ac:dyDescent="0.3">
      <c r="C11" s="237"/>
      <c r="D11" s="238"/>
      <c r="E11" s="238"/>
      <c r="F11" s="239" t="str">
        <f>IF(OR(D11&lt;&gt;0,E11&lt;&gt;0),F10-D11+E11,"")</f>
        <v/>
      </c>
    </row>
    <row r="12" spans="2:6" s="240" customFormat="1" x14ac:dyDescent="0.3">
      <c r="C12" s="241"/>
      <c r="D12" s="238"/>
      <c r="E12" s="238"/>
      <c r="F12" s="239" t="str">
        <f t="shared" ref="F12:F34" si="0">IF(OR(D12&lt;&gt;0,E12&lt;&gt;0),F11-D12+E12,"")</f>
        <v/>
      </c>
    </row>
    <row r="13" spans="2:6" s="240" customFormat="1" x14ac:dyDescent="0.3">
      <c r="C13" s="241"/>
      <c r="D13" s="238"/>
      <c r="E13" s="238"/>
      <c r="F13" s="239" t="str">
        <f t="shared" si="0"/>
        <v/>
      </c>
    </row>
    <row r="14" spans="2:6" s="240" customFormat="1" x14ac:dyDescent="0.3">
      <c r="C14" s="241"/>
      <c r="D14" s="238"/>
      <c r="E14" s="238"/>
      <c r="F14" s="239" t="str">
        <f t="shared" si="0"/>
        <v/>
      </c>
    </row>
    <row r="15" spans="2:6" x14ac:dyDescent="0.3">
      <c r="C15" s="237"/>
      <c r="D15" s="238"/>
      <c r="E15" s="238"/>
      <c r="F15" s="239" t="str">
        <f t="shared" si="0"/>
        <v/>
      </c>
    </row>
    <row r="16" spans="2:6" x14ac:dyDescent="0.3">
      <c r="C16" s="237"/>
      <c r="D16" s="238"/>
      <c r="E16" s="238"/>
      <c r="F16" s="239" t="str">
        <f t="shared" si="0"/>
        <v/>
      </c>
    </row>
    <row r="17" spans="3:6" s="240" customFormat="1" x14ac:dyDescent="0.3">
      <c r="C17" s="241"/>
      <c r="D17" s="238"/>
      <c r="E17" s="238"/>
      <c r="F17" s="239" t="str">
        <f t="shared" si="0"/>
        <v/>
      </c>
    </row>
    <row r="18" spans="3:6" s="240" customFormat="1" x14ac:dyDescent="0.3">
      <c r="C18" s="241"/>
      <c r="D18" s="238"/>
      <c r="E18" s="238"/>
      <c r="F18" s="239" t="str">
        <f t="shared" si="0"/>
        <v/>
      </c>
    </row>
    <row r="19" spans="3:6" s="240" customFormat="1" x14ac:dyDescent="0.3">
      <c r="C19" s="241"/>
      <c r="D19" s="238"/>
      <c r="E19" s="238"/>
      <c r="F19" s="239" t="str">
        <f t="shared" si="0"/>
        <v/>
      </c>
    </row>
    <row r="20" spans="3:6" x14ac:dyDescent="0.3">
      <c r="C20" s="237"/>
      <c r="D20" s="238"/>
      <c r="E20" s="238"/>
      <c r="F20" s="239" t="str">
        <f t="shared" si="0"/>
        <v/>
      </c>
    </row>
    <row r="21" spans="3:6" x14ac:dyDescent="0.3">
      <c r="C21" s="237"/>
      <c r="D21" s="238"/>
      <c r="E21" s="238"/>
      <c r="F21" s="239" t="str">
        <f t="shared" si="0"/>
        <v/>
      </c>
    </row>
    <row r="22" spans="3:6" x14ac:dyDescent="0.3">
      <c r="C22" s="237"/>
      <c r="D22" s="238"/>
      <c r="E22" s="238"/>
      <c r="F22" s="239" t="str">
        <f t="shared" si="0"/>
        <v/>
      </c>
    </row>
    <row r="23" spans="3:6" x14ac:dyDescent="0.3">
      <c r="C23" s="237"/>
      <c r="D23" s="238"/>
      <c r="E23" s="238"/>
      <c r="F23" s="239" t="str">
        <f t="shared" si="0"/>
        <v/>
      </c>
    </row>
    <row r="24" spans="3:6" x14ac:dyDescent="0.3">
      <c r="C24" s="237"/>
      <c r="D24" s="238"/>
      <c r="E24" s="238"/>
      <c r="F24" s="239" t="str">
        <f t="shared" si="0"/>
        <v/>
      </c>
    </row>
    <row r="25" spans="3:6" x14ac:dyDescent="0.3">
      <c r="C25" s="237"/>
      <c r="D25" s="238"/>
      <c r="E25" s="238"/>
      <c r="F25" s="239" t="str">
        <f t="shared" si="0"/>
        <v/>
      </c>
    </row>
    <row r="26" spans="3:6" x14ac:dyDescent="0.3">
      <c r="C26" s="237"/>
      <c r="D26" s="238"/>
      <c r="E26" s="238"/>
      <c r="F26" s="239" t="str">
        <f t="shared" si="0"/>
        <v/>
      </c>
    </row>
    <row r="27" spans="3:6" x14ac:dyDescent="0.3">
      <c r="C27" s="237"/>
      <c r="D27" s="238"/>
      <c r="E27" s="238"/>
      <c r="F27" s="239" t="str">
        <f t="shared" si="0"/>
        <v/>
      </c>
    </row>
    <row r="28" spans="3:6" x14ac:dyDescent="0.3">
      <c r="C28" s="237"/>
      <c r="D28" s="238"/>
      <c r="E28" s="238"/>
      <c r="F28" s="239" t="str">
        <f t="shared" si="0"/>
        <v/>
      </c>
    </row>
    <row r="29" spans="3:6" x14ac:dyDescent="0.3">
      <c r="C29" s="237"/>
      <c r="D29" s="238"/>
      <c r="E29" s="238"/>
      <c r="F29" s="239" t="str">
        <f t="shared" si="0"/>
        <v/>
      </c>
    </row>
    <row r="30" spans="3:6" x14ac:dyDescent="0.3">
      <c r="C30" s="237"/>
      <c r="D30" s="238"/>
      <c r="E30" s="238"/>
      <c r="F30" s="239" t="str">
        <f t="shared" si="0"/>
        <v/>
      </c>
    </row>
    <row r="31" spans="3:6" x14ac:dyDescent="0.3">
      <c r="C31" s="237"/>
      <c r="D31" s="238"/>
      <c r="E31" s="238"/>
      <c r="F31" s="239" t="str">
        <f t="shared" si="0"/>
        <v/>
      </c>
    </row>
    <row r="32" spans="3:6" x14ac:dyDescent="0.3">
      <c r="C32" s="237"/>
      <c r="D32" s="238"/>
      <c r="E32" s="238"/>
      <c r="F32" s="239" t="str">
        <f t="shared" si="0"/>
        <v/>
      </c>
    </row>
    <row r="33" spans="3:6" x14ac:dyDescent="0.3">
      <c r="C33" s="237"/>
      <c r="D33" s="238"/>
      <c r="E33" s="238"/>
      <c r="F33" s="239" t="str">
        <f t="shared" si="0"/>
        <v/>
      </c>
    </row>
    <row r="34" spans="3:6" ht="15" thickBot="1" x14ac:dyDescent="0.35">
      <c r="C34" s="242"/>
      <c r="D34" s="243"/>
      <c r="E34" s="243"/>
      <c r="F34" s="227" t="str">
        <f t="shared" si="0"/>
        <v/>
      </c>
    </row>
    <row r="35" spans="3:6" ht="15" thickTop="1" x14ac:dyDescent="0.3"/>
  </sheetData>
  <sheetProtection sheet="1" objects="1" scenarios="1" selectLockedCells="1"/>
  <customSheetViews>
    <customSheetView guid="{9679493F-7CDF-46D6-BE72-B12FE11A478F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E9A9889A-61F5-47D0-A5C6-BF43493EDD61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3.2" x14ac:dyDescent="0.25"/>
  <cols>
    <col min="1" max="1" width="18.44140625" customWidth="1"/>
    <col min="2" max="2" width="17.88671875" customWidth="1"/>
    <col min="3" max="3" width="15.109375" customWidth="1"/>
  </cols>
  <sheetData>
    <row r="3" spans="1:6" ht="15.6" x14ac:dyDescent="0.3">
      <c r="A3" s="5"/>
      <c r="B3" s="78" t="str">
        <f>Location &amp;" Roadblock, Stock Totals - "&amp; Month &amp; ", " &amp; Year</f>
        <v>OODLA WIRRA Roadblock, Stock Totals - July, 2019</v>
      </c>
      <c r="C3" s="5"/>
      <c r="D3" s="5"/>
      <c r="E3" s="5"/>
      <c r="F3" s="5"/>
    </row>
    <row r="4" spans="1:6" ht="13.8" thickBot="1" x14ac:dyDescent="0.3"/>
    <row r="5" spans="1:6" ht="13.8" thickTop="1" x14ac:dyDescent="0.25">
      <c r="C5" s="79" t="s">
        <v>24</v>
      </c>
      <c r="D5" s="75"/>
    </row>
    <row r="6" spans="1:6" x14ac:dyDescent="0.25">
      <c r="C6" s="80" t="s">
        <v>25</v>
      </c>
      <c r="D6" s="76"/>
    </row>
    <row r="7" spans="1:6" x14ac:dyDescent="0.25">
      <c r="C7" s="80" t="s">
        <v>26</v>
      </c>
      <c r="D7" s="76"/>
    </row>
    <row r="8" spans="1:6" ht="13.8" thickBot="1" x14ac:dyDescent="0.3">
      <c r="C8" s="81" t="s">
        <v>27</v>
      </c>
      <c r="D8" s="77"/>
    </row>
    <row r="9" spans="1:6" ht="16.8" thickTop="1" thickBot="1" x14ac:dyDescent="0.35">
      <c r="C9" s="82" t="s">
        <v>28</v>
      </c>
      <c r="D9" s="83">
        <f>SUM(D5:D8)</f>
        <v>0</v>
      </c>
    </row>
    <row r="10" spans="1:6" ht="13.8" thickTop="1" x14ac:dyDescent="0.25"/>
  </sheetData>
  <sheetProtection sheet="1" objects="1" scenarios="1" selectLockedCells="1"/>
  <customSheetViews>
    <customSheetView guid="{9679493F-7CDF-46D6-BE72-B12FE11A478F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E9A9889A-61F5-47D0-A5C6-BF43493EDD61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topLeftCell="A10" zoomScale="130" zoomScaleNormal="130" workbookViewId="0">
      <selection activeCell="F47" sqref="F47"/>
    </sheetView>
  </sheetViews>
  <sheetFormatPr defaultRowHeight="13.2" x14ac:dyDescent="0.25"/>
  <cols>
    <col min="1" max="1" width="8.88671875" style="36" customWidth="1"/>
    <col min="2" max="2" width="6.88671875" style="36" customWidth="1"/>
    <col min="3" max="3" width="5.88671875" customWidth="1"/>
    <col min="7" max="7" width="9.5546875" customWidth="1"/>
    <col min="10" max="10" width="10" customWidth="1"/>
    <col min="13" max="13" width="3.6640625" customWidth="1"/>
    <col min="14" max="45" width="8.88671875" style="36" customWidth="1"/>
  </cols>
  <sheetData>
    <row r="1" spans="3:13" x14ac:dyDescent="0.25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5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6" x14ac:dyDescent="0.25">
      <c r="E5" s="90"/>
      <c r="F5" s="90"/>
      <c r="H5" s="89" t="str">
        <f xml:space="preserve"> Location &amp; " - Quarantine Inspection Station"</f>
        <v>OODLA WIRRA - Quarantine Inspection Station</v>
      </c>
      <c r="I5" s="90"/>
      <c r="J5" s="90"/>
    </row>
    <row r="6" spans="3:13" ht="5.25" customHeight="1" x14ac:dyDescent="0.25">
      <c r="E6" s="88"/>
      <c r="F6" s="88"/>
      <c r="H6" s="89"/>
      <c r="I6" s="88"/>
      <c r="J6" s="88"/>
    </row>
    <row r="7" spans="3:13" ht="15.6" x14ac:dyDescent="0.25">
      <c r="E7" s="88"/>
      <c r="F7" s="88"/>
      <c r="H7" s="89" t="str">
        <f xml:space="preserve"> Month &amp; ", " &amp; Year &amp; " - Monthly Report"</f>
        <v>July, 2019 - Monthly Report</v>
      </c>
      <c r="I7" s="88"/>
      <c r="J7" s="88"/>
    </row>
    <row r="8" spans="3:13" ht="7.5" customHeight="1" thickBot="1" x14ac:dyDescent="0.35">
      <c r="C8" s="86"/>
      <c r="D8" s="86"/>
      <c r="E8" s="87"/>
      <c r="F8" s="86"/>
      <c r="G8" s="86"/>
      <c r="H8" s="86"/>
      <c r="I8" s="86"/>
      <c r="J8" s="86"/>
      <c r="K8" s="86"/>
      <c r="L8" s="86"/>
      <c r="M8" s="86"/>
    </row>
    <row r="9" spans="3:13" ht="8.25" customHeight="1" thickTop="1" x14ac:dyDescent="0.25">
      <c r="E9" s="38"/>
    </row>
    <row r="10" spans="3:13" ht="15.6" x14ac:dyDescent="0.3">
      <c r="E10" s="91" t="s">
        <v>42</v>
      </c>
    </row>
    <row r="11" spans="3:13" ht="6" customHeight="1" thickBot="1" x14ac:dyDescent="0.3">
      <c r="E11" s="38"/>
    </row>
    <row r="12" spans="3:13" ht="15.6" thickBot="1" x14ac:dyDescent="0.3">
      <c r="G12" s="84" t="s">
        <v>95</v>
      </c>
      <c r="H12" s="264">
        <f>TotalCars + TotalCommVehicles +TotalCaravans</f>
        <v>0</v>
      </c>
      <c r="K12" s="84" t="s">
        <v>29</v>
      </c>
      <c r="L12" s="264">
        <f>TotalVehicles + PrevTotalVehicles</f>
        <v>0</v>
      </c>
    </row>
    <row r="13" spans="3:13" ht="15.6" thickBot="1" x14ac:dyDescent="0.3">
      <c r="G13" s="84"/>
      <c r="H13" s="304"/>
      <c r="K13" s="84"/>
      <c r="L13" s="304"/>
    </row>
    <row r="14" spans="3:13" ht="15.6" thickBot="1" x14ac:dyDescent="0.3">
      <c r="G14" s="84" t="s">
        <v>94</v>
      </c>
      <c r="H14" s="264">
        <f>TotalCars</f>
        <v>0</v>
      </c>
      <c r="K14" s="84" t="s">
        <v>29</v>
      </c>
      <c r="L14" s="264">
        <f>TotalCars+PrevTotalCars</f>
        <v>0</v>
      </c>
    </row>
    <row r="15" spans="3:13" ht="15.6" thickBot="1" x14ac:dyDescent="0.3">
      <c r="G15" s="84"/>
      <c r="H15" s="304"/>
      <c r="K15" s="84"/>
      <c r="L15" s="304"/>
    </row>
    <row r="16" spans="3:13" ht="15.6" thickBot="1" x14ac:dyDescent="0.3">
      <c r="G16" s="84" t="s">
        <v>109</v>
      </c>
      <c r="H16" s="264">
        <f>TotalCaravans</f>
        <v>0</v>
      </c>
      <c r="K16" s="84" t="s">
        <v>29</v>
      </c>
      <c r="L16" s="264">
        <f>TotalCaravans+PrevTotalCaravans</f>
        <v>0</v>
      </c>
    </row>
    <row r="17" spans="3:13" ht="15.6" thickBot="1" x14ac:dyDescent="0.3">
      <c r="G17" s="84"/>
      <c r="H17" s="305"/>
      <c r="K17" s="85"/>
      <c r="L17" s="306"/>
    </row>
    <row r="18" spans="3:13" ht="15.6" thickBot="1" x14ac:dyDescent="0.3">
      <c r="G18" s="84" t="s">
        <v>30</v>
      </c>
      <c r="H18" s="264">
        <f xml:space="preserve"> TotalCommVehicles</f>
        <v>0</v>
      </c>
      <c r="K18" s="84" t="s">
        <v>29</v>
      </c>
      <c r="L18" s="264">
        <f>TotalCommVehicles+PrevTotalCommVehicles</f>
        <v>0</v>
      </c>
    </row>
    <row r="19" spans="3:13" ht="15.6" thickBot="1" x14ac:dyDescent="0.3">
      <c r="G19" s="84"/>
      <c r="H19" s="305"/>
      <c r="K19" s="85"/>
      <c r="L19" s="306"/>
    </row>
    <row r="20" spans="3:13" ht="15.6" thickBot="1" x14ac:dyDescent="0.3">
      <c r="G20" s="84" t="s">
        <v>31</v>
      </c>
      <c r="H20" s="264">
        <f xml:space="preserve"> TotalVehiclesWF</f>
        <v>0</v>
      </c>
      <c r="K20" s="84" t="s">
        <v>29</v>
      </c>
      <c r="L20" s="264">
        <f>TotalVehiclesWF+PrevTotalVehiclesWF</f>
        <v>0</v>
      </c>
    </row>
    <row r="21" spans="3:13" ht="15.6" thickBot="1" x14ac:dyDescent="0.3">
      <c r="G21" s="84"/>
      <c r="H21" s="305"/>
      <c r="K21" s="85"/>
      <c r="L21" s="306"/>
    </row>
    <row r="22" spans="3:13" ht="15.6" thickBot="1" x14ac:dyDescent="0.3">
      <c r="G22" s="84" t="s">
        <v>32</v>
      </c>
      <c r="H22" s="264">
        <f>TotalFruitConfiscated</f>
        <v>0</v>
      </c>
      <c r="K22" s="84" t="s">
        <v>29</v>
      </c>
      <c r="L22" s="264">
        <f>TotalFruitConfiscated+PrevTotalFruitConfiscated</f>
        <v>0</v>
      </c>
    </row>
    <row r="23" spans="3:13" ht="6.75" customHeight="1" x14ac:dyDescent="0.3">
      <c r="G23" s="84"/>
      <c r="H23" s="98"/>
      <c r="K23" s="84"/>
      <c r="L23" s="99"/>
    </row>
    <row r="24" spans="3:13" ht="4.5" customHeight="1" x14ac:dyDescent="0.25">
      <c r="C24" s="93"/>
      <c r="D24" s="93"/>
      <c r="E24" s="93"/>
      <c r="F24" s="93"/>
      <c r="G24" s="94"/>
      <c r="H24" s="93"/>
      <c r="I24" s="93"/>
      <c r="J24" s="93"/>
      <c r="K24" s="94"/>
      <c r="L24" s="94"/>
      <c r="M24" s="93"/>
    </row>
    <row r="25" spans="3:13" ht="6.75" customHeight="1" x14ac:dyDescent="0.25">
      <c r="G25" s="84"/>
      <c r="K25" s="84"/>
      <c r="L25" s="84"/>
    </row>
    <row r="26" spans="3:13" ht="15.6" x14ac:dyDescent="0.3">
      <c r="E26" s="91" t="s">
        <v>38</v>
      </c>
      <c r="I26" s="38"/>
    </row>
    <row r="27" spans="3:13" ht="9.75" customHeight="1" thickBot="1" x14ac:dyDescent="0.3">
      <c r="E27" s="38"/>
      <c r="K27" s="98"/>
    </row>
    <row r="28" spans="3:13" ht="15.6" thickBot="1" x14ac:dyDescent="0.3">
      <c r="E28" s="84" t="s">
        <v>40</v>
      </c>
      <c r="F28" s="92">
        <f>FFlyHostFruit</f>
        <v>0</v>
      </c>
      <c r="K28" s="84" t="s">
        <v>29</v>
      </c>
      <c r="L28" s="92">
        <f>PrevTotalHostFruit + FFlyHostFruit</f>
        <v>0</v>
      </c>
    </row>
    <row r="29" spans="3:13" ht="10.5" customHeight="1" thickBot="1" x14ac:dyDescent="0.3">
      <c r="E29" s="84"/>
    </row>
    <row r="30" spans="3:13" ht="15.6" thickBot="1" x14ac:dyDescent="0.3">
      <c r="E30" s="84" t="s">
        <v>39</v>
      </c>
      <c r="F30" s="92">
        <f>NonFFlyHostFruit</f>
        <v>0</v>
      </c>
      <c r="K30" s="84" t="s">
        <v>29</v>
      </c>
      <c r="L30" s="92">
        <f>NonFFlyHostFruit + PrevTotalNonHostFruit</f>
        <v>0</v>
      </c>
    </row>
    <row r="31" spans="3:13" ht="4.5" customHeight="1" x14ac:dyDescent="0.25">
      <c r="C31" s="93"/>
      <c r="D31" s="93"/>
      <c r="E31" s="93"/>
      <c r="F31" s="93"/>
      <c r="G31" s="94"/>
      <c r="H31" s="93"/>
      <c r="I31" s="93"/>
      <c r="J31" s="93"/>
      <c r="K31" s="93"/>
      <c r="L31" s="93"/>
      <c r="M31" s="93"/>
    </row>
    <row r="32" spans="3:13" ht="7.5" customHeight="1" x14ac:dyDescent="0.25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</row>
    <row r="33" spans="3:13" ht="15.6" x14ac:dyDescent="0.3">
      <c r="E33" s="100" t="s">
        <v>41</v>
      </c>
    </row>
    <row r="34" spans="3:13" ht="15.6" thickBot="1" x14ac:dyDescent="0.3">
      <c r="E34" s="38"/>
    </row>
    <row r="35" spans="3:13" ht="15.6" thickBot="1" x14ac:dyDescent="0.3">
      <c r="E35" s="84" t="s">
        <v>33</v>
      </c>
      <c r="F35" s="264">
        <f>Sheep</f>
        <v>0</v>
      </c>
      <c r="K35" s="84" t="s">
        <v>29</v>
      </c>
      <c r="L35" s="308">
        <f>PrevSheep + Sheep</f>
        <v>0</v>
      </c>
    </row>
    <row r="36" spans="3:13" ht="8.4" customHeight="1" thickBot="1" x14ac:dyDescent="0.3">
      <c r="E36" s="84"/>
      <c r="F36" s="305"/>
      <c r="K36" s="85"/>
      <c r="L36" s="305"/>
    </row>
    <row r="37" spans="3:13" ht="15.6" thickBot="1" x14ac:dyDescent="0.3">
      <c r="E37" s="84" t="s">
        <v>34</v>
      </c>
      <c r="F37" s="264">
        <f>Cattle</f>
        <v>0</v>
      </c>
      <c r="K37" s="84" t="s">
        <v>29</v>
      </c>
      <c r="L37" s="308">
        <f>PrevCattle + Cattle</f>
        <v>0</v>
      </c>
    </row>
    <row r="38" spans="3:13" ht="8.4" customHeight="1" thickBot="1" x14ac:dyDescent="0.3">
      <c r="E38" s="84"/>
      <c r="F38" s="305"/>
      <c r="K38" s="85"/>
      <c r="L38" s="305"/>
    </row>
    <row r="39" spans="3:13" ht="15.6" thickBot="1" x14ac:dyDescent="0.3">
      <c r="E39" s="84" t="s">
        <v>35</v>
      </c>
      <c r="F39" s="264">
        <f xml:space="preserve"> Pigs</f>
        <v>0</v>
      </c>
      <c r="K39" s="84" t="s">
        <v>29</v>
      </c>
      <c r="L39" s="308">
        <f>PrevPigs + Pigs</f>
        <v>0</v>
      </c>
    </row>
    <row r="40" spans="3:13" ht="8.4" customHeight="1" thickBot="1" x14ac:dyDescent="0.3">
      <c r="E40" s="84"/>
      <c r="F40" s="305"/>
      <c r="K40" s="85"/>
      <c r="L40" s="305"/>
    </row>
    <row r="41" spans="3:13" ht="15.6" thickBot="1" x14ac:dyDescent="0.3">
      <c r="E41" s="84" t="s">
        <v>36</v>
      </c>
      <c r="F41" s="264">
        <f>Other</f>
        <v>0</v>
      </c>
      <c r="K41" s="84" t="s">
        <v>29</v>
      </c>
      <c r="L41" s="308">
        <f>PrevOther + Other</f>
        <v>0</v>
      </c>
    </row>
    <row r="42" spans="3:13" ht="4.5" customHeight="1" x14ac:dyDescent="0.25">
      <c r="E42" s="38"/>
    </row>
    <row r="43" spans="3:13" ht="5.25" customHeight="1" x14ac:dyDescent="0.25">
      <c r="C43" s="93"/>
      <c r="D43" s="93"/>
      <c r="E43" s="95"/>
      <c r="F43" s="93"/>
      <c r="G43" s="93"/>
      <c r="H43" s="93"/>
      <c r="I43" s="93"/>
      <c r="J43" s="93"/>
      <c r="K43" s="93"/>
      <c r="L43" s="93"/>
      <c r="M43" s="93"/>
    </row>
    <row r="44" spans="3:13" ht="6.75" customHeight="1" x14ac:dyDescent="0.25">
      <c r="C44" s="96"/>
      <c r="D44" s="96"/>
      <c r="E44" s="115"/>
      <c r="F44" s="96"/>
      <c r="G44" s="96"/>
      <c r="H44" s="96"/>
      <c r="I44" s="96"/>
      <c r="J44" s="96"/>
      <c r="K44" s="96"/>
      <c r="L44" s="96"/>
      <c r="M44" s="96"/>
    </row>
    <row r="45" spans="3:13" ht="15.6" x14ac:dyDescent="0.3">
      <c r="C45" s="96"/>
      <c r="D45" s="96"/>
      <c r="E45" s="250" t="s">
        <v>88</v>
      </c>
      <c r="F45" s="96"/>
      <c r="G45" s="96"/>
      <c r="H45" s="96"/>
      <c r="I45" s="96"/>
      <c r="J45" s="96"/>
      <c r="K45" s="96"/>
      <c r="L45" s="96"/>
      <c r="M45" s="96"/>
    </row>
    <row r="46" spans="3:13" ht="9.75" customHeight="1" thickBot="1" x14ac:dyDescent="0.3">
      <c r="C46" s="96"/>
      <c r="D46" s="96"/>
      <c r="E46" s="115"/>
      <c r="F46" s="96"/>
      <c r="G46" s="96"/>
      <c r="H46" s="96"/>
      <c r="I46" s="96"/>
      <c r="J46" s="96"/>
      <c r="K46" s="96"/>
      <c r="L46" s="96"/>
      <c r="M46" s="96"/>
    </row>
    <row r="47" spans="3:13" ht="15.6" thickBot="1" x14ac:dyDescent="0.3">
      <c r="C47" s="96"/>
      <c r="D47" s="96"/>
      <c r="E47" s="248" t="s">
        <v>89</v>
      </c>
      <c r="F47" s="307">
        <v>0</v>
      </c>
      <c r="G47" s="96"/>
      <c r="H47" s="96"/>
      <c r="I47" s="96"/>
      <c r="J47" s="96"/>
      <c r="K47" s="84" t="s">
        <v>29</v>
      </c>
      <c r="L47" s="308">
        <f>PrevFruitFly + FruitFly</f>
        <v>0</v>
      </c>
      <c r="M47" s="96"/>
    </row>
    <row r="48" spans="3:13" ht="7.5" customHeight="1" x14ac:dyDescent="0.25">
      <c r="C48" s="96"/>
      <c r="D48" s="96"/>
      <c r="E48" s="248"/>
      <c r="F48" s="96"/>
      <c r="G48" s="96"/>
      <c r="H48" s="96"/>
      <c r="I48" s="96"/>
      <c r="J48" s="96"/>
      <c r="K48" s="84"/>
      <c r="L48" s="96"/>
      <c r="M48" s="96"/>
    </row>
    <row r="49" spans="3:13" ht="9" customHeight="1" x14ac:dyDescent="0.25">
      <c r="C49" s="290"/>
      <c r="D49" s="290"/>
      <c r="E49" s="291"/>
      <c r="F49" s="290"/>
      <c r="G49" s="290"/>
      <c r="H49" s="290"/>
      <c r="I49" s="290"/>
      <c r="J49" s="290"/>
      <c r="K49" s="291"/>
      <c r="L49" s="290"/>
      <c r="M49" s="290"/>
    </row>
    <row r="50" spans="3:13" ht="14.25" customHeight="1" x14ac:dyDescent="0.3">
      <c r="C50" s="96"/>
      <c r="D50" s="96"/>
      <c r="E50" s="250" t="s">
        <v>103</v>
      </c>
      <c r="F50" s="96"/>
      <c r="G50" s="96"/>
      <c r="H50" s="96"/>
      <c r="I50" s="96"/>
      <c r="J50" s="96"/>
      <c r="K50" s="248"/>
      <c r="L50" s="96"/>
      <c r="M50" s="96"/>
    </row>
    <row r="51" spans="3:13" ht="9" customHeight="1" thickBot="1" x14ac:dyDescent="0.3">
      <c r="C51" s="96"/>
      <c r="D51" s="96"/>
      <c r="E51" s="248"/>
      <c r="F51" s="96"/>
      <c r="G51" s="96"/>
      <c r="H51" s="96"/>
      <c r="I51" s="96"/>
      <c r="J51" s="96"/>
      <c r="K51" s="248"/>
      <c r="L51" s="96"/>
      <c r="M51" s="96"/>
    </row>
    <row r="52" spans="3:13" ht="15" customHeight="1" thickBot="1" x14ac:dyDescent="0.3">
      <c r="D52" s="96"/>
      <c r="E52" s="248" t="s">
        <v>104</v>
      </c>
      <c r="F52" s="249">
        <f>MAX(ShiftStatsTotal)</f>
        <v>0</v>
      </c>
      <c r="G52" s="96"/>
      <c r="H52" s="292" t="s">
        <v>105</v>
      </c>
      <c r="I52" s="249">
        <f>MAX(ShiftStats)</f>
        <v>0</v>
      </c>
      <c r="K52" s="248" t="s">
        <v>106</v>
      </c>
      <c r="L52" s="249">
        <f>COUNTIF(ShiftStats,"&gt;199")</f>
        <v>0</v>
      </c>
      <c r="M52" s="96"/>
    </row>
    <row r="53" spans="3:13" ht="9" customHeight="1" x14ac:dyDescent="0.25">
      <c r="C53" s="96"/>
      <c r="D53" s="96"/>
      <c r="E53" s="248"/>
      <c r="F53" s="96"/>
      <c r="G53" s="96"/>
      <c r="H53" s="96"/>
      <c r="I53" s="96"/>
      <c r="J53" s="96"/>
      <c r="K53" s="248"/>
      <c r="L53" s="96"/>
      <c r="M53" s="96"/>
    </row>
    <row r="54" spans="3:13" ht="3" customHeight="1" x14ac:dyDescent="0.25">
      <c r="C54" s="93"/>
      <c r="D54" s="93"/>
      <c r="E54" s="94"/>
      <c r="F54" s="93"/>
      <c r="G54" s="93"/>
      <c r="H54" s="93"/>
      <c r="I54" s="93"/>
      <c r="J54" s="93"/>
      <c r="K54" s="94"/>
      <c r="L54" s="93"/>
      <c r="M54" s="93"/>
    </row>
    <row r="55" spans="3:13" ht="15" x14ac:dyDescent="0.25">
      <c r="E55" s="38"/>
    </row>
    <row r="56" spans="3:13" ht="15.6" x14ac:dyDescent="0.3">
      <c r="E56" s="100" t="s">
        <v>43</v>
      </c>
    </row>
    <row r="57" spans="3:13" ht="13.8" thickBot="1" x14ac:dyDescent="0.3">
      <c r="D57" t="s">
        <v>37</v>
      </c>
    </row>
    <row r="58" spans="3:13" x14ac:dyDescent="0.25">
      <c r="D58" s="402"/>
      <c r="E58" s="403"/>
      <c r="F58" s="403"/>
      <c r="G58" s="403"/>
      <c r="H58" s="403"/>
      <c r="I58" s="403"/>
      <c r="J58" s="403"/>
      <c r="K58" s="403"/>
      <c r="L58" s="404"/>
    </row>
    <row r="59" spans="3:13" x14ac:dyDescent="0.25">
      <c r="D59" s="405"/>
      <c r="E59" s="406"/>
      <c r="F59" s="406"/>
      <c r="G59" s="406"/>
      <c r="H59" s="406"/>
      <c r="I59" s="406"/>
      <c r="J59" s="406"/>
      <c r="K59" s="406"/>
      <c r="L59" s="407"/>
    </row>
    <row r="60" spans="3:13" x14ac:dyDescent="0.25">
      <c r="D60" s="405"/>
      <c r="E60" s="406"/>
      <c r="F60" s="406"/>
      <c r="G60" s="406"/>
      <c r="H60" s="406"/>
      <c r="I60" s="406"/>
      <c r="J60" s="406"/>
      <c r="K60" s="406"/>
      <c r="L60" s="407"/>
    </row>
    <row r="61" spans="3:13" x14ac:dyDescent="0.25">
      <c r="D61" s="405"/>
      <c r="E61" s="406"/>
      <c r="F61" s="406"/>
      <c r="G61" s="406"/>
      <c r="H61" s="406"/>
      <c r="I61" s="406"/>
      <c r="J61" s="406"/>
      <c r="K61" s="406"/>
      <c r="L61" s="407"/>
    </row>
    <row r="62" spans="3:13" x14ac:dyDescent="0.25">
      <c r="D62" s="405"/>
      <c r="E62" s="406"/>
      <c r="F62" s="406"/>
      <c r="G62" s="406"/>
      <c r="H62" s="406"/>
      <c r="I62" s="406"/>
      <c r="J62" s="406"/>
      <c r="K62" s="406"/>
      <c r="L62" s="407"/>
    </row>
    <row r="63" spans="3:13" x14ac:dyDescent="0.25">
      <c r="D63" s="405"/>
      <c r="E63" s="406"/>
      <c r="F63" s="406"/>
      <c r="G63" s="406"/>
      <c r="H63" s="406"/>
      <c r="I63" s="406"/>
      <c r="J63" s="406"/>
      <c r="K63" s="406"/>
      <c r="L63" s="407"/>
    </row>
    <row r="64" spans="3:13" x14ac:dyDescent="0.25">
      <c r="D64" s="405"/>
      <c r="E64" s="406"/>
      <c r="F64" s="406"/>
      <c r="G64" s="406"/>
      <c r="H64" s="406"/>
      <c r="I64" s="406"/>
      <c r="J64" s="406"/>
      <c r="K64" s="406"/>
      <c r="L64" s="407"/>
    </row>
    <row r="65" spans="3:13" x14ac:dyDescent="0.25">
      <c r="D65" s="405"/>
      <c r="E65" s="406"/>
      <c r="F65" s="406"/>
      <c r="G65" s="406"/>
      <c r="H65" s="406"/>
      <c r="I65" s="406"/>
      <c r="J65" s="406"/>
      <c r="K65" s="406"/>
      <c r="L65" s="407"/>
    </row>
    <row r="66" spans="3:13" x14ac:dyDescent="0.25">
      <c r="D66" s="405"/>
      <c r="E66" s="406"/>
      <c r="F66" s="406"/>
      <c r="G66" s="406"/>
      <c r="H66" s="406"/>
      <c r="I66" s="406"/>
      <c r="J66" s="406"/>
      <c r="K66" s="406"/>
      <c r="L66" s="407"/>
    </row>
    <row r="67" spans="3:13" x14ac:dyDescent="0.25">
      <c r="D67" s="405"/>
      <c r="E67" s="406"/>
      <c r="F67" s="406"/>
      <c r="G67" s="406"/>
      <c r="H67" s="406"/>
      <c r="I67" s="406"/>
      <c r="J67" s="406"/>
      <c r="K67" s="406"/>
      <c r="L67" s="407"/>
    </row>
    <row r="68" spans="3:13" ht="13.8" thickBot="1" x14ac:dyDescent="0.3">
      <c r="D68" s="408"/>
      <c r="E68" s="409"/>
      <c r="F68" s="409"/>
      <c r="G68" s="409"/>
      <c r="H68" s="409"/>
      <c r="I68" s="409"/>
      <c r="J68" s="409"/>
      <c r="K68" s="409"/>
      <c r="L68" s="410"/>
    </row>
    <row r="69" spans="3:13" ht="13.8" x14ac:dyDescent="0.25">
      <c r="C69" s="97"/>
      <c r="D69" s="254"/>
      <c r="E69" s="254"/>
      <c r="F69" s="254"/>
      <c r="G69" s="254"/>
      <c r="H69" s="254"/>
      <c r="I69" s="254"/>
      <c r="J69" s="254"/>
      <c r="K69" s="254"/>
      <c r="L69" s="254"/>
      <c r="M69" s="97"/>
    </row>
    <row r="70" spans="3:13" ht="13.8" x14ac:dyDescent="0.25">
      <c r="C70" s="97"/>
      <c r="D70" s="254"/>
      <c r="E70" s="254"/>
      <c r="F70" s="254"/>
      <c r="G70" s="254"/>
      <c r="H70" s="254"/>
      <c r="I70" s="254"/>
      <c r="J70" s="254"/>
      <c r="K70" s="254"/>
      <c r="L70" s="254"/>
      <c r="M70" s="97"/>
    </row>
    <row r="71" spans="3:13" ht="13.8" x14ac:dyDescent="0.25">
      <c r="C71" s="97"/>
      <c r="D71" s="254"/>
      <c r="E71" s="254"/>
      <c r="F71" s="254"/>
      <c r="G71" s="254"/>
      <c r="H71" s="254"/>
      <c r="I71" s="254"/>
      <c r="J71" s="254"/>
      <c r="K71" s="254"/>
      <c r="L71" s="254"/>
      <c r="M71" s="97"/>
    </row>
    <row r="72" spans="3:13" x14ac:dyDescent="0.25">
      <c r="C72" s="97"/>
      <c r="D72" s="255"/>
      <c r="E72" s="255"/>
      <c r="F72" s="255"/>
      <c r="G72" s="255"/>
      <c r="H72" s="255"/>
      <c r="I72" s="255"/>
      <c r="J72" s="255"/>
      <c r="K72" s="255"/>
      <c r="L72" s="255"/>
      <c r="M72" s="97"/>
    </row>
    <row r="73" spans="3:13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5"/>
    <row r="79" spans="3:13" s="36" customFormat="1" x14ac:dyDescent="0.25"/>
    <row r="80" spans="3:13" s="36" customFormat="1" x14ac:dyDescent="0.25"/>
    <row r="81" s="36" customFormat="1" x14ac:dyDescent="0.25"/>
    <row r="82" s="36" customFormat="1" x14ac:dyDescent="0.25"/>
    <row r="83" s="36" customFormat="1" x14ac:dyDescent="0.25"/>
    <row r="84" s="36" customFormat="1" x14ac:dyDescent="0.25"/>
    <row r="85" s="36" customFormat="1" x14ac:dyDescent="0.25"/>
    <row r="86" s="36" customFormat="1" x14ac:dyDescent="0.25"/>
    <row r="87" s="36" customFormat="1" x14ac:dyDescent="0.25"/>
    <row r="88" s="36" customFormat="1" x14ac:dyDescent="0.25"/>
    <row r="89" s="36" customFormat="1" x14ac:dyDescent="0.25"/>
    <row r="90" s="36" customFormat="1" x14ac:dyDescent="0.25"/>
    <row r="91" s="36" customFormat="1" x14ac:dyDescent="0.25"/>
    <row r="92" s="36" customFormat="1" x14ac:dyDescent="0.25"/>
    <row r="93" s="36" customFormat="1" x14ac:dyDescent="0.25"/>
    <row r="94" s="36" customFormat="1" x14ac:dyDescent="0.25"/>
    <row r="95" s="36" customFormat="1" x14ac:dyDescent="0.25"/>
    <row r="96" s="36" customFormat="1" x14ac:dyDescent="0.25"/>
    <row r="97" s="36" customFormat="1" x14ac:dyDescent="0.25"/>
    <row r="98" s="36" customFormat="1" x14ac:dyDescent="0.25"/>
    <row r="99" s="36" customFormat="1" x14ac:dyDescent="0.25"/>
    <row r="100" s="36" customFormat="1" x14ac:dyDescent="0.25"/>
    <row r="101" s="36" customFormat="1" x14ac:dyDescent="0.25"/>
    <row r="102" s="36" customFormat="1" x14ac:dyDescent="0.25"/>
    <row r="103" s="36" customFormat="1" x14ac:dyDescent="0.25"/>
    <row r="104" s="36" customFormat="1" x14ac:dyDescent="0.25"/>
    <row r="105" s="36" customFormat="1" x14ac:dyDescent="0.25"/>
    <row r="106" s="36" customFormat="1" x14ac:dyDescent="0.25"/>
    <row r="107" s="36" customFormat="1" x14ac:dyDescent="0.25"/>
    <row r="108" s="36" customFormat="1" x14ac:dyDescent="0.25"/>
    <row r="109" s="36" customFormat="1" x14ac:dyDescent="0.25"/>
    <row r="110" s="36" customFormat="1" x14ac:dyDescent="0.25"/>
    <row r="111" s="36" customFormat="1" x14ac:dyDescent="0.25"/>
    <row r="112" s="36" customFormat="1" x14ac:dyDescent="0.25"/>
    <row r="113" s="36" customFormat="1" x14ac:dyDescent="0.25"/>
    <row r="114" s="36" customFormat="1" x14ac:dyDescent="0.25"/>
    <row r="115" s="36" customFormat="1" x14ac:dyDescent="0.25"/>
    <row r="116" s="36" customFormat="1" x14ac:dyDescent="0.25"/>
    <row r="117" s="36" customFormat="1" x14ac:dyDescent="0.25"/>
    <row r="118" s="36" customFormat="1" x14ac:dyDescent="0.25"/>
    <row r="119" s="36" customFormat="1" x14ac:dyDescent="0.25"/>
    <row r="120" s="36" customFormat="1" x14ac:dyDescent="0.25"/>
    <row r="121" s="36" customFormat="1" x14ac:dyDescent="0.25"/>
    <row r="122" s="36" customFormat="1" x14ac:dyDescent="0.25"/>
    <row r="123" s="36" customFormat="1" x14ac:dyDescent="0.25"/>
    <row r="124" s="36" customFormat="1" x14ac:dyDescent="0.25"/>
    <row r="125" s="36" customFormat="1" x14ac:dyDescent="0.25"/>
    <row r="126" s="36" customFormat="1" x14ac:dyDescent="0.25"/>
    <row r="127" s="36" customFormat="1" x14ac:dyDescent="0.25"/>
    <row r="128" s="36" customFormat="1" x14ac:dyDescent="0.25"/>
    <row r="129" s="36" customFormat="1" x14ac:dyDescent="0.25"/>
    <row r="130" s="36" customFormat="1" x14ac:dyDescent="0.25"/>
    <row r="131" s="36" customFormat="1" x14ac:dyDescent="0.25"/>
    <row r="132" s="36" customFormat="1" x14ac:dyDescent="0.25"/>
    <row r="133" s="36" customFormat="1" x14ac:dyDescent="0.25"/>
    <row r="134" s="36" customFormat="1" x14ac:dyDescent="0.25"/>
    <row r="135" s="36" customFormat="1" x14ac:dyDescent="0.25"/>
    <row r="136" s="36" customFormat="1" x14ac:dyDescent="0.25"/>
    <row r="137" s="36" customFormat="1" x14ac:dyDescent="0.25"/>
    <row r="138" s="36" customFormat="1" x14ac:dyDescent="0.25"/>
    <row r="139" s="36" customFormat="1" x14ac:dyDescent="0.25"/>
    <row r="140" s="36" customFormat="1" x14ac:dyDescent="0.25"/>
    <row r="141" s="36" customFormat="1" x14ac:dyDescent="0.25"/>
    <row r="142" s="36" customFormat="1" x14ac:dyDescent="0.25"/>
    <row r="143" s="36" customFormat="1" x14ac:dyDescent="0.25"/>
    <row r="144" s="36" customFormat="1" x14ac:dyDescent="0.25"/>
    <row r="145" s="36" customFormat="1" x14ac:dyDescent="0.25"/>
    <row r="146" s="36" customFormat="1" x14ac:dyDescent="0.25"/>
    <row r="147" s="36" customFormat="1" x14ac:dyDescent="0.25"/>
    <row r="148" s="36" customFormat="1" x14ac:dyDescent="0.25"/>
    <row r="149" s="36" customFormat="1" x14ac:dyDescent="0.25"/>
    <row r="150" s="36" customFormat="1" x14ac:dyDescent="0.25"/>
    <row r="151" s="36" customFormat="1" x14ac:dyDescent="0.25"/>
    <row r="152" s="36" customFormat="1" x14ac:dyDescent="0.25"/>
    <row r="153" s="36" customFormat="1" x14ac:dyDescent="0.25"/>
    <row r="154" s="36" customFormat="1" x14ac:dyDescent="0.25"/>
    <row r="155" s="36" customFormat="1" x14ac:dyDescent="0.25"/>
    <row r="156" s="36" customFormat="1" x14ac:dyDescent="0.25"/>
    <row r="157" s="36" customFormat="1" x14ac:dyDescent="0.25"/>
    <row r="158" s="36" customFormat="1" x14ac:dyDescent="0.25"/>
  </sheetData>
  <sheetProtection sheet="1" objects="1" scenarios="1" selectLockedCells="1"/>
  <customSheetViews>
    <customSheetView guid="{9679493F-7CDF-46D6-BE72-B12FE11A478F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E9A9889A-61F5-47D0-A5C6-BF43493EDD61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tabSelected="1" zoomScale="189" zoomScaleNormal="100" workbookViewId="0">
      <selection activeCell="E44" sqref="E44"/>
    </sheetView>
  </sheetViews>
  <sheetFormatPr defaultRowHeight="13.2" x14ac:dyDescent="0.25"/>
  <cols>
    <col min="1" max="1" width="3.33203125" customWidth="1"/>
    <col min="2" max="2" width="2.88671875" customWidth="1"/>
    <col min="3" max="3" width="3.6640625" customWidth="1"/>
    <col min="4" max="4" width="10.33203125" customWidth="1"/>
    <col min="5" max="11" width="8.6640625" customWidth="1"/>
    <col min="12" max="12" width="3.44140625" customWidth="1"/>
  </cols>
  <sheetData>
    <row r="1" spans="1:86" s="215" customFormat="1" ht="6" customHeight="1" x14ac:dyDescent="0.25"/>
    <row r="2" spans="1:86" s="215" customFormat="1" ht="7.5" customHeight="1" x14ac:dyDescent="0.25"/>
    <row r="3" spans="1:86" s="215" customFormat="1" ht="6" customHeight="1" thickBot="1" x14ac:dyDescent="0.3"/>
    <row r="4" spans="1:86" s="215" customFormat="1" ht="14.4" thickTop="1" thickBot="1" x14ac:dyDescent="0.3">
      <c r="D4" s="222" t="s">
        <v>59</v>
      </c>
      <c r="E4" s="220">
        <v>1</v>
      </c>
      <c r="G4" s="216" t="b">
        <v>0</v>
      </c>
    </row>
    <row r="5" spans="1:86" s="215" customFormat="1" ht="21.6" customHeight="1" thickTop="1" thickBot="1" x14ac:dyDescent="0.3">
      <c r="G5" s="293" t="b">
        <v>0</v>
      </c>
    </row>
    <row r="6" spans="1:86" s="127" customFormat="1" ht="25.2" thickTop="1" thickBot="1" x14ac:dyDescent="0.3">
      <c r="A6" s="215"/>
      <c r="B6" s="215"/>
      <c r="C6" s="215"/>
      <c r="D6" s="128" t="s">
        <v>47</v>
      </c>
      <c r="E6" s="129" t="s">
        <v>1</v>
      </c>
      <c r="F6" s="129" t="s">
        <v>2</v>
      </c>
      <c r="G6" s="129" t="s">
        <v>3</v>
      </c>
      <c r="H6" s="129" t="s">
        <v>4</v>
      </c>
      <c r="I6" s="129" t="s">
        <v>5</v>
      </c>
      <c r="J6" s="129" t="s">
        <v>48</v>
      </c>
      <c r="K6" s="130" t="s">
        <v>7</v>
      </c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</row>
    <row r="7" spans="1:86" s="127" customFormat="1" ht="14.4" thickBot="1" x14ac:dyDescent="0.3">
      <c r="A7" s="215"/>
      <c r="B7" s="215"/>
      <c r="C7" s="215"/>
      <c r="D7" s="131" t="s">
        <v>49</v>
      </c>
      <c r="E7" s="141">
        <f t="shared" ref="E7:G7" si="0">E26+E44+E62</f>
        <v>0</v>
      </c>
      <c r="F7" s="141">
        <f t="shared" si="0"/>
        <v>0</v>
      </c>
      <c r="G7" s="141">
        <f t="shared" si="0"/>
        <v>0</v>
      </c>
      <c r="H7" s="141">
        <f t="shared" ref="H7:J7" si="1">H26+H44+H62</f>
        <v>0</v>
      </c>
      <c r="I7" s="141">
        <f t="shared" si="1"/>
        <v>0</v>
      </c>
      <c r="J7" s="142">
        <f t="shared" si="1"/>
        <v>0</v>
      </c>
      <c r="K7" s="135">
        <f>SUM(E7:J7)</f>
        <v>0</v>
      </c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</row>
    <row r="8" spans="1:86" s="127" customFormat="1" ht="14.4" thickBot="1" x14ac:dyDescent="0.3">
      <c r="A8" s="215"/>
      <c r="B8" s="215"/>
      <c r="C8" s="215"/>
      <c r="D8" s="131" t="s">
        <v>50</v>
      </c>
      <c r="E8" s="141">
        <f t="shared" ref="E8:J8" si="2">E27+E45+E63</f>
        <v>0</v>
      </c>
      <c r="F8" s="141">
        <f t="shared" si="2"/>
        <v>0</v>
      </c>
      <c r="G8" s="141">
        <f t="shared" si="2"/>
        <v>0</v>
      </c>
      <c r="H8" s="141">
        <f t="shared" si="2"/>
        <v>0</v>
      </c>
      <c r="I8" s="141">
        <f t="shared" si="2"/>
        <v>0</v>
      </c>
      <c r="J8" s="142">
        <f t="shared" si="2"/>
        <v>0</v>
      </c>
      <c r="K8" s="135">
        <f t="shared" ref="K8:K17" si="3">SUM(E8:J8)</f>
        <v>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</row>
    <row r="9" spans="1:86" s="127" customFormat="1" ht="14.4" thickBot="1" x14ac:dyDescent="0.3">
      <c r="A9" s="215"/>
      <c r="B9" s="215"/>
      <c r="C9" s="215"/>
      <c r="D9" s="131" t="s">
        <v>107</v>
      </c>
      <c r="E9" s="141">
        <f t="shared" ref="E9:I10" si="4">E28+E46+E64</f>
        <v>0</v>
      </c>
      <c r="F9" s="141">
        <f t="shared" si="4"/>
        <v>0</v>
      </c>
      <c r="G9" s="141">
        <f t="shared" si="4"/>
        <v>0</v>
      </c>
      <c r="H9" s="141">
        <f t="shared" si="4"/>
        <v>0</v>
      </c>
      <c r="I9" s="141">
        <f t="shared" si="4"/>
        <v>0</v>
      </c>
      <c r="J9" s="142">
        <f t="shared" ref="J9:J10" si="5">J28+J46+J64</f>
        <v>0</v>
      </c>
      <c r="K9" s="135">
        <f t="shared" si="3"/>
        <v>0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</row>
    <row r="10" spans="1:86" s="127" customFormat="1" ht="14.4" thickBot="1" x14ac:dyDescent="0.3">
      <c r="A10" s="215"/>
      <c r="B10" s="215"/>
      <c r="C10" s="215"/>
      <c r="D10" s="131" t="s">
        <v>50</v>
      </c>
      <c r="E10" s="141">
        <f t="shared" si="4"/>
        <v>0</v>
      </c>
      <c r="F10" s="141">
        <f t="shared" si="4"/>
        <v>0</v>
      </c>
      <c r="G10" s="141">
        <f t="shared" si="4"/>
        <v>0</v>
      </c>
      <c r="H10" s="141">
        <f t="shared" si="4"/>
        <v>0</v>
      </c>
      <c r="I10" s="141">
        <f t="shared" si="4"/>
        <v>0</v>
      </c>
      <c r="J10" s="142">
        <f t="shared" si="5"/>
        <v>0</v>
      </c>
      <c r="K10" s="135">
        <f t="shared" si="3"/>
        <v>0</v>
      </c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</row>
    <row r="11" spans="1:86" s="127" customFormat="1" ht="14.4" thickBot="1" x14ac:dyDescent="0.3">
      <c r="A11" s="215"/>
      <c r="B11" s="215"/>
      <c r="C11" s="215"/>
      <c r="D11" s="131" t="s">
        <v>51</v>
      </c>
      <c r="E11" s="141">
        <f t="shared" ref="E11:J14" si="6">E30+E48+E66</f>
        <v>0</v>
      </c>
      <c r="F11" s="141">
        <f t="shared" si="6"/>
        <v>0</v>
      </c>
      <c r="G11" s="141">
        <f t="shared" si="6"/>
        <v>0</v>
      </c>
      <c r="H11" s="141">
        <f t="shared" si="6"/>
        <v>0</v>
      </c>
      <c r="I11" s="141">
        <f t="shared" si="6"/>
        <v>0</v>
      </c>
      <c r="J11" s="142">
        <f t="shared" si="6"/>
        <v>0</v>
      </c>
      <c r="K11" s="135">
        <f t="shared" si="3"/>
        <v>0</v>
      </c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</row>
    <row r="12" spans="1:86" s="127" customFormat="1" ht="14.4" thickBot="1" x14ac:dyDescent="0.3">
      <c r="A12" s="215"/>
      <c r="B12" s="215"/>
      <c r="C12" s="215"/>
      <c r="D12" s="131" t="s">
        <v>50</v>
      </c>
      <c r="E12" s="141">
        <f t="shared" si="6"/>
        <v>0</v>
      </c>
      <c r="F12" s="141">
        <f t="shared" si="6"/>
        <v>0</v>
      </c>
      <c r="G12" s="141">
        <f t="shared" si="6"/>
        <v>0</v>
      </c>
      <c r="H12" s="141">
        <f t="shared" si="6"/>
        <v>0</v>
      </c>
      <c r="I12" s="141">
        <f t="shared" si="6"/>
        <v>0</v>
      </c>
      <c r="J12" s="142">
        <f t="shared" si="6"/>
        <v>0</v>
      </c>
      <c r="K12" s="135">
        <f t="shared" si="3"/>
        <v>0</v>
      </c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</row>
    <row r="13" spans="1:86" s="127" customFormat="1" ht="14.4" thickBot="1" x14ac:dyDescent="0.3">
      <c r="A13" s="215"/>
      <c r="B13" s="215"/>
      <c r="C13" s="215"/>
      <c r="D13" s="131" t="s">
        <v>52</v>
      </c>
      <c r="E13" s="141">
        <f t="shared" si="6"/>
        <v>0</v>
      </c>
      <c r="F13" s="141">
        <f t="shared" si="6"/>
        <v>0</v>
      </c>
      <c r="G13" s="141">
        <f t="shared" si="6"/>
        <v>0</v>
      </c>
      <c r="H13" s="141">
        <f t="shared" si="6"/>
        <v>0</v>
      </c>
      <c r="I13" s="141">
        <f t="shared" si="6"/>
        <v>0</v>
      </c>
      <c r="J13" s="142">
        <f t="shared" si="6"/>
        <v>0</v>
      </c>
      <c r="K13" s="135">
        <f t="shared" si="3"/>
        <v>0</v>
      </c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</row>
    <row r="14" spans="1:86" s="127" customFormat="1" ht="14.4" thickBot="1" x14ac:dyDescent="0.3">
      <c r="A14" s="215"/>
      <c r="B14" s="215"/>
      <c r="C14" s="215"/>
      <c r="D14" s="131" t="s">
        <v>50</v>
      </c>
      <c r="E14" s="143">
        <f t="shared" si="6"/>
        <v>0</v>
      </c>
      <c r="F14" s="143">
        <f t="shared" si="6"/>
        <v>0</v>
      </c>
      <c r="G14" s="143">
        <f t="shared" si="6"/>
        <v>0</v>
      </c>
      <c r="H14" s="143">
        <f t="shared" si="6"/>
        <v>0</v>
      </c>
      <c r="I14" s="143">
        <f t="shared" si="6"/>
        <v>0</v>
      </c>
      <c r="J14" s="144">
        <f t="shared" si="6"/>
        <v>0</v>
      </c>
      <c r="K14" s="135">
        <f t="shared" si="3"/>
        <v>0</v>
      </c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</row>
    <row r="15" spans="1:86" s="127" customFormat="1" ht="24" x14ac:dyDescent="0.25">
      <c r="A15" s="215"/>
      <c r="B15" s="215"/>
      <c r="C15" s="215"/>
      <c r="D15" s="131" t="s">
        <v>53</v>
      </c>
      <c r="E15" s="134">
        <f>E7+E9+E11+E13</f>
        <v>0</v>
      </c>
      <c r="F15" s="134">
        <f t="shared" ref="F15:J15" si="7">F7+F9+F11+F13</f>
        <v>0</v>
      </c>
      <c r="G15" s="134">
        <f t="shared" si="7"/>
        <v>0</v>
      </c>
      <c r="H15" s="134">
        <f t="shared" si="7"/>
        <v>0</v>
      </c>
      <c r="I15" s="134">
        <f t="shared" si="7"/>
        <v>0</v>
      </c>
      <c r="J15" s="134">
        <f t="shared" si="7"/>
        <v>0</v>
      </c>
      <c r="K15" s="136">
        <f t="shared" si="3"/>
        <v>0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5"/>
      <c r="CH15" s="215"/>
    </row>
    <row r="16" spans="1:86" s="127" customFormat="1" ht="24.6" thickBot="1" x14ac:dyDescent="0.3">
      <c r="A16" s="215"/>
      <c r="B16" s="215"/>
      <c r="C16" s="215"/>
      <c r="D16" s="132" t="s">
        <v>54</v>
      </c>
      <c r="E16" s="139">
        <f>E8+E10+E12+E14</f>
        <v>0</v>
      </c>
      <c r="F16" s="139">
        <f t="shared" ref="F16:J16" si="8">F8+F10+F12+F14</f>
        <v>0</v>
      </c>
      <c r="G16" s="139">
        <f t="shared" si="8"/>
        <v>0</v>
      </c>
      <c r="H16" s="139">
        <f t="shared" si="8"/>
        <v>0</v>
      </c>
      <c r="I16" s="139">
        <f t="shared" si="8"/>
        <v>0</v>
      </c>
      <c r="J16" s="139">
        <f t="shared" si="8"/>
        <v>0</v>
      </c>
      <c r="K16" s="135">
        <f t="shared" si="3"/>
        <v>0</v>
      </c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5"/>
      <c r="CH16" s="215"/>
    </row>
    <row r="17" spans="1:86" s="127" customFormat="1" ht="24.6" thickBot="1" x14ac:dyDescent="0.3">
      <c r="A17" s="215"/>
      <c r="B17" s="215"/>
      <c r="C17" s="215"/>
      <c r="D17" s="133" t="s">
        <v>55</v>
      </c>
      <c r="E17" s="140">
        <f t="shared" ref="E17:J17" si="9">E36+E54+E72</f>
        <v>0</v>
      </c>
      <c r="F17" s="140">
        <f t="shared" si="9"/>
        <v>0</v>
      </c>
      <c r="G17" s="140">
        <f t="shared" si="9"/>
        <v>0</v>
      </c>
      <c r="H17" s="140">
        <f t="shared" si="9"/>
        <v>0</v>
      </c>
      <c r="I17" s="140">
        <f t="shared" si="9"/>
        <v>0</v>
      </c>
      <c r="J17" s="140">
        <f t="shared" si="9"/>
        <v>0</v>
      </c>
      <c r="K17" s="138">
        <f t="shared" si="3"/>
        <v>0</v>
      </c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5"/>
      <c r="CH17" s="215"/>
    </row>
    <row r="18" spans="1:86" s="217" customFormat="1" ht="14.4" thickTop="1" thickBot="1" x14ac:dyDescent="0.3"/>
    <row r="19" spans="1:86" s="217" customFormat="1" ht="14.4" thickTop="1" thickBot="1" x14ac:dyDescent="0.3">
      <c r="E19" s="219" t="s">
        <v>61</v>
      </c>
      <c r="F19" s="221">
        <f>F38+F56+F74</f>
        <v>0</v>
      </c>
      <c r="I19" s="219" t="s">
        <v>60</v>
      </c>
      <c r="J19" s="221">
        <f>J38+J56+J74</f>
        <v>0</v>
      </c>
    </row>
    <row r="20" spans="1:86" s="217" customFormat="1" ht="13.8" thickTop="1" x14ac:dyDescent="0.25"/>
    <row r="21" spans="1:86" s="218" customFormat="1" ht="13.8" thickBot="1" x14ac:dyDescent="0.3"/>
    <row r="22" spans="1:86" ht="14.4" hidden="1" thickTop="1" thickBot="1" x14ac:dyDescent="0.3"/>
    <row r="23" spans="1:86" ht="25.5" hidden="1" customHeight="1" thickTop="1" x14ac:dyDescent="0.25">
      <c r="D23" s="415" t="s">
        <v>56</v>
      </c>
      <c r="H23" s="214" t="str">
        <f>TEXT(DATEVALUE(Day &amp; ", " &amp; Month &amp; ", " &amp; Year), "ddd, dd mmm, yyyy")</f>
        <v>Mon, 01 Jul, 2019</v>
      </c>
      <c r="I23" s="214"/>
      <c r="J23" s="214" t="str">
        <f>"Page " &amp; IF(chkNights = TRUE, (Day * 3) -2)</f>
        <v>Page FALSE</v>
      </c>
    </row>
    <row r="24" spans="1:86" ht="6" hidden="1" customHeight="1" thickBot="1" x14ac:dyDescent="0.3">
      <c r="D24" s="416"/>
    </row>
    <row r="25" spans="1:86" ht="25.2" hidden="1" thickTop="1" thickBot="1" x14ac:dyDescent="0.3">
      <c r="D25" s="128" t="s">
        <v>47</v>
      </c>
      <c r="E25" s="129" t="s">
        <v>1</v>
      </c>
      <c r="F25" s="129" t="s">
        <v>2</v>
      </c>
      <c r="G25" s="129" t="s">
        <v>3</v>
      </c>
      <c r="H25" s="129" t="s">
        <v>4</v>
      </c>
      <c r="I25" s="129" t="s">
        <v>5</v>
      </c>
      <c r="J25" s="129" t="s">
        <v>48</v>
      </c>
      <c r="K25" s="130" t="s">
        <v>7</v>
      </c>
    </row>
    <row r="26" spans="1:86" ht="13.8" hidden="1" x14ac:dyDescent="0.25">
      <c r="D26" s="131" t="s">
        <v>49</v>
      </c>
      <c r="E26" s="151"/>
      <c r="F26" s="152"/>
      <c r="G26" s="152"/>
      <c r="H26" s="152"/>
      <c r="I26" s="152"/>
      <c r="J26" s="153"/>
      <c r="K26" s="135">
        <f>SUM(E26:J26)</f>
        <v>0</v>
      </c>
    </row>
    <row r="27" spans="1:86" ht="13.8" hidden="1" x14ac:dyDescent="0.25">
      <c r="D27" s="131" t="s">
        <v>50</v>
      </c>
      <c r="E27" s="154"/>
      <c r="F27" s="155"/>
      <c r="G27" s="155"/>
      <c r="H27" s="155"/>
      <c r="I27" s="155"/>
      <c r="J27" s="156"/>
      <c r="K27" s="135">
        <f t="shared" ref="K27:K36" si="10">SUM(E27:J27)</f>
        <v>0</v>
      </c>
    </row>
    <row r="28" spans="1:86" ht="13.8" hidden="1" x14ac:dyDescent="0.25">
      <c r="D28" s="131" t="s">
        <v>107</v>
      </c>
      <c r="E28" s="294"/>
      <c r="F28" s="295"/>
      <c r="G28" s="295"/>
      <c r="H28" s="295"/>
      <c r="I28" s="295"/>
      <c r="J28" s="296"/>
      <c r="K28" s="135">
        <f t="shared" si="10"/>
        <v>0</v>
      </c>
    </row>
    <row r="29" spans="1:86" ht="13.8" hidden="1" x14ac:dyDescent="0.25">
      <c r="D29" s="131" t="s">
        <v>50</v>
      </c>
      <c r="E29" s="294"/>
      <c r="F29" s="295"/>
      <c r="G29" s="295"/>
      <c r="H29" s="295"/>
      <c r="I29" s="295"/>
      <c r="J29" s="296"/>
      <c r="K29" s="135">
        <f t="shared" si="10"/>
        <v>0</v>
      </c>
    </row>
    <row r="30" spans="1:86" ht="13.8" hidden="1" x14ac:dyDescent="0.25">
      <c r="D30" s="131" t="s">
        <v>51</v>
      </c>
      <c r="E30" s="154"/>
      <c r="F30" s="155"/>
      <c r="G30" s="155"/>
      <c r="H30" s="155"/>
      <c r="I30" s="155"/>
      <c r="J30" s="156"/>
      <c r="K30" s="135">
        <f t="shared" si="10"/>
        <v>0</v>
      </c>
    </row>
    <row r="31" spans="1:86" ht="13.8" hidden="1" x14ac:dyDescent="0.25">
      <c r="D31" s="131" t="s">
        <v>50</v>
      </c>
      <c r="E31" s="154"/>
      <c r="F31" s="155"/>
      <c r="G31" s="155"/>
      <c r="H31" s="155"/>
      <c r="I31" s="155"/>
      <c r="J31" s="156"/>
      <c r="K31" s="135">
        <f t="shared" si="10"/>
        <v>0</v>
      </c>
    </row>
    <row r="32" spans="1:86" ht="13.8" hidden="1" x14ac:dyDescent="0.25">
      <c r="D32" s="131" t="s">
        <v>52</v>
      </c>
      <c r="E32" s="154"/>
      <c r="F32" s="155"/>
      <c r="G32" s="155"/>
      <c r="H32" s="155"/>
      <c r="I32" s="155"/>
      <c r="J32" s="156"/>
      <c r="K32" s="135">
        <f t="shared" si="10"/>
        <v>0</v>
      </c>
    </row>
    <row r="33" spans="4:11" ht="14.4" hidden="1" thickBot="1" x14ac:dyDescent="0.3">
      <c r="D33" s="131" t="s">
        <v>50</v>
      </c>
      <c r="E33" s="157"/>
      <c r="F33" s="158"/>
      <c r="G33" s="158"/>
      <c r="H33" s="158"/>
      <c r="I33" s="158"/>
      <c r="J33" s="159"/>
      <c r="K33" s="135">
        <f t="shared" si="10"/>
        <v>0</v>
      </c>
    </row>
    <row r="34" spans="4:11" ht="24" hidden="1" x14ac:dyDescent="0.25">
      <c r="D34" s="131" t="s">
        <v>53</v>
      </c>
      <c r="E34" s="134">
        <f>E26+E28+E30+E32</f>
        <v>0</v>
      </c>
      <c r="F34" s="134">
        <f t="shared" ref="F34:J34" si="11">F26+F28+F30+F32</f>
        <v>0</v>
      </c>
      <c r="G34" s="134">
        <f t="shared" si="11"/>
        <v>0</v>
      </c>
      <c r="H34" s="134">
        <f t="shared" si="11"/>
        <v>0</v>
      </c>
      <c r="I34" s="134">
        <f t="shared" si="11"/>
        <v>0</v>
      </c>
      <c r="J34" s="134">
        <f t="shared" si="11"/>
        <v>0</v>
      </c>
      <c r="K34" s="136">
        <f t="shared" si="10"/>
        <v>0</v>
      </c>
    </row>
    <row r="35" spans="4:11" ht="24.6" hidden="1" thickBot="1" x14ac:dyDescent="0.3">
      <c r="D35" s="132" t="s">
        <v>54</v>
      </c>
      <c r="E35" s="139">
        <f>E27+E29+E31+E33</f>
        <v>0</v>
      </c>
      <c r="F35" s="139">
        <f t="shared" ref="F35:J35" si="12">F27+F29+F31+F33</f>
        <v>0</v>
      </c>
      <c r="G35" s="139">
        <f t="shared" si="12"/>
        <v>0</v>
      </c>
      <c r="H35" s="139">
        <f t="shared" si="12"/>
        <v>0</v>
      </c>
      <c r="I35" s="139">
        <f t="shared" si="12"/>
        <v>0</v>
      </c>
      <c r="J35" s="139">
        <f t="shared" si="12"/>
        <v>0</v>
      </c>
      <c r="K35" s="135">
        <f t="shared" si="10"/>
        <v>0</v>
      </c>
    </row>
    <row r="36" spans="4:11" ht="24.6" hidden="1" thickBot="1" x14ac:dyDescent="0.3">
      <c r="D36" s="133" t="s">
        <v>55</v>
      </c>
      <c r="E36" s="145"/>
      <c r="F36" s="146"/>
      <c r="G36" s="146"/>
      <c r="H36" s="146"/>
      <c r="I36" s="146"/>
      <c r="J36" s="147"/>
      <c r="K36" s="171">
        <f t="shared" si="10"/>
        <v>0</v>
      </c>
    </row>
    <row r="37" spans="4:11" s="179" customFormat="1" ht="9" hidden="1" customHeight="1" thickTop="1" thickBot="1" x14ac:dyDescent="0.3">
      <c r="D37" s="180"/>
      <c r="E37" s="181"/>
      <c r="F37" s="181"/>
      <c r="G37" s="181"/>
      <c r="H37" s="181"/>
      <c r="I37" s="181"/>
      <c r="J37" s="181"/>
      <c r="K37" s="182"/>
    </row>
    <row r="38" spans="4:11" s="97" customFormat="1" ht="15" hidden="1" thickTop="1" thickBot="1" x14ac:dyDescent="0.3">
      <c r="D38" s="169"/>
      <c r="E38" s="172" t="s">
        <v>61</v>
      </c>
      <c r="F38" s="197"/>
      <c r="G38" s="173"/>
      <c r="H38" s="173"/>
      <c r="I38" s="172" t="s">
        <v>60</v>
      </c>
      <c r="J38" s="197"/>
      <c r="K38" s="170"/>
    </row>
    <row r="39" spans="4:11" s="178" customFormat="1" ht="21.75" hidden="1" customHeight="1" thickTop="1" thickBot="1" x14ac:dyDescent="0.3">
      <c r="D39" s="175"/>
      <c r="E39" s="176"/>
      <c r="F39" s="176"/>
      <c r="G39" s="176"/>
      <c r="H39" s="176"/>
      <c r="I39" s="176"/>
      <c r="J39" s="176"/>
      <c r="K39" s="177"/>
    </row>
    <row r="40" spans="4:11" ht="14.25" customHeight="1" thickTop="1" thickBot="1" x14ac:dyDescent="0.3"/>
    <row r="41" spans="4:11" ht="25.5" customHeight="1" thickTop="1" x14ac:dyDescent="0.25">
      <c r="D41" s="411" t="s">
        <v>57</v>
      </c>
      <c r="H41" s="212" t="str">
        <f>TEXT(DATEVALUE(Day &amp; ", " &amp; Month &amp; ", " &amp; Year), "ddd, dd mmm, yyyy")</f>
        <v>Mon, 01 Jul, 2019</v>
      </c>
      <c r="I41" s="212"/>
      <c r="J41" s="212" t="str">
        <f>"Page " &amp; IF(chkNights = TRUE, (Day * 3) - 1,IF(chkAfternoons = TRUE,(Day * 2) -1, Day))</f>
        <v>Page 1</v>
      </c>
    </row>
    <row r="42" spans="4:11" ht="6" customHeight="1" thickBot="1" x14ac:dyDescent="0.3">
      <c r="D42" s="412"/>
    </row>
    <row r="43" spans="4:11" ht="25.2" thickTop="1" thickBot="1" x14ac:dyDescent="0.3">
      <c r="D43" s="128" t="s">
        <v>47</v>
      </c>
      <c r="E43" s="129" t="s">
        <v>1</v>
      </c>
      <c r="F43" s="129" t="s">
        <v>2</v>
      </c>
      <c r="G43" s="129" t="s">
        <v>3</v>
      </c>
      <c r="H43" s="129" t="s">
        <v>4</v>
      </c>
      <c r="I43" s="129" t="s">
        <v>5</v>
      </c>
      <c r="J43" s="129" t="s">
        <v>48</v>
      </c>
      <c r="K43" s="130" t="s">
        <v>7</v>
      </c>
    </row>
    <row r="44" spans="4:11" ht="13.8" x14ac:dyDescent="0.25">
      <c r="D44" s="131" t="s">
        <v>49</v>
      </c>
      <c r="E44" s="160"/>
      <c r="F44" s="161"/>
      <c r="G44" s="161"/>
      <c r="H44" s="161"/>
      <c r="I44" s="161"/>
      <c r="J44" s="162"/>
      <c r="K44" s="135">
        <f>SUM(E44:J44)</f>
        <v>0</v>
      </c>
    </row>
    <row r="45" spans="4:11" ht="13.8" x14ac:dyDescent="0.25">
      <c r="D45" s="131" t="s">
        <v>50</v>
      </c>
      <c r="E45" s="163"/>
      <c r="F45" s="164"/>
      <c r="G45" s="164"/>
      <c r="H45" s="164"/>
      <c r="I45" s="164"/>
      <c r="J45" s="165"/>
      <c r="K45" s="135">
        <f t="shared" ref="K45:K54" si="13">SUM(E45:J45)</f>
        <v>0</v>
      </c>
    </row>
    <row r="46" spans="4:11" ht="13.8" x14ac:dyDescent="0.25">
      <c r="D46" s="131" t="s">
        <v>107</v>
      </c>
      <c r="E46" s="297"/>
      <c r="F46" s="298"/>
      <c r="G46" s="298"/>
      <c r="H46" s="298"/>
      <c r="I46" s="298"/>
      <c r="J46" s="299"/>
      <c r="K46" s="135">
        <f t="shared" si="13"/>
        <v>0</v>
      </c>
    </row>
    <row r="47" spans="4:11" ht="13.8" x14ac:dyDescent="0.25">
      <c r="D47" s="131" t="s">
        <v>50</v>
      </c>
      <c r="E47" s="297"/>
      <c r="F47" s="298"/>
      <c r="G47" s="298"/>
      <c r="H47" s="298"/>
      <c r="I47" s="298"/>
      <c r="J47" s="299"/>
      <c r="K47" s="135">
        <f t="shared" si="13"/>
        <v>0</v>
      </c>
    </row>
    <row r="48" spans="4:11" ht="13.8" x14ac:dyDescent="0.25">
      <c r="D48" s="131" t="s">
        <v>51</v>
      </c>
      <c r="E48" s="163"/>
      <c r="F48" s="164"/>
      <c r="G48" s="164"/>
      <c r="H48" s="164"/>
      <c r="I48" s="164"/>
      <c r="J48" s="165"/>
      <c r="K48" s="135">
        <f t="shared" si="13"/>
        <v>0</v>
      </c>
    </row>
    <row r="49" spans="4:11" ht="13.8" x14ac:dyDescent="0.25">
      <c r="D49" s="131" t="s">
        <v>50</v>
      </c>
      <c r="E49" s="163"/>
      <c r="F49" s="164"/>
      <c r="G49" s="164"/>
      <c r="H49" s="164"/>
      <c r="I49" s="164"/>
      <c r="J49" s="165"/>
      <c r="K49" s="135">
        <f t="shared" si="13"/>
        <v>0</v>
      </c>
    </row>
    <row r="50" spans="4:11" ht="13.8" x14ac:dyDescent="0.25">
      <c r="D50" s="131" t="s">
        <v>52</v>
      </c>
      <c r="E50" s="163"/>
      <c r="F50" s="164"/>
      <c r="G50" s="164"/>
      <c r="H50" s="164"/>
      <c r="I50" s="164"/>
      <c r="J50" s="165"/>
      <c r="K50" s="135">
        <f t="shared" si="13"/>
        <v>0</v>
      </c>
    </row>
    <row r="51" spans="4:11" ht="14.4" thickBot="1" x14ac:dyDescent="0.3">
      <c r="D51" s="131" t="s">
        <v>50</v>
      </c>
      <c r="E51" s="166"/>
      <c r="F51" s="167"/>
      <c r="G51" s="167"/>
      <c r="H51" s="167"/>
      <c r="I51" s="167"/>
      <c r="J51" s="168"/>
      <c r="K51" s="135">
        <f t="shared" si="13"/>
        <v>0</v>
      </c>
    </row>
    <row r="52" spans="4:11" ht="24" x14ac:dyDescent="0.25">
      <c r="D52" s="131" t="s">
        <v>53</v>
      </c>
      <c r="E52" s="134">
        <f>E44+E46+E48+E50</f>
        <v>0</v>
      </c>
      <c r="F52" s="134">
        <f t="shared" ref="F52:J52" si="14">F44+F46+F48+F50</f>
        <v>0</v>
      </c>
      <c r="G52" s="134">
        <f t="shared" si="14"/>
        <v>0</v>
      </c>
      <c r="H52" s="134">
        <f t="shared" si="14"/>
        <v>0</v>
      </c>
      <c r="I52" s="134">
        <f t="shared" si="14"/>
        <v>0</v>
      </c>
      <c r="J52" s="134">
        <f t="shared" si="14"/>
        <v>0</v>
      </c>
      <c r="K52" s="136">
        <f t="shared" si="13"/>
        <v>0</v>
      </c>
    </row>
    <row r="53" spans="4:11" ht="24.6" thickBot="1" x14ac:dyDescent="0.3">
      <c r="D53" s="132" t="s">
        <v>54</v>
      </c>
      <c r="E53" s="139">
        <f>E45+E47+E49+E51</f>
        <v>0</v>
      </c>
      <c r="F53" s="139">
        <f t="shared" ref="F53:J53" si="15">F45+F47+F49+F51</f>
        <v>0</v>
      </c>
      <c r="G53" s="139">
        <f t="shared" si="15"/>
        <v>0</v>
      </c>
      <c r="H53" s="139">
        <f t="shared" si="15"/>
        <v>0</v>
      </c>
      <c r="I53" s="139">
        <f t="shared" si="15"/>
        <v>0</v>
      </c>
      <c r="J53" s="139">
        <f t="shared" si="15"/>
        <v>0</v>
      </c>
      <c r="K53" s="135">
        <f t="shared" si="13"/>
        <v>0</v>
      </c>
    </row>
    <row r="54" spans="4:11" ht="24.6" thickBot="1" x14ac:dyDescent="0.3">
      <c r="D54" s="133" t="s">
        <v>55</v>
      </c>
      <c r="E54" s="148"/>
      <c r="F54" s="149"/>
      <c r="G54" s="149"/>
      <c r="H54" s="149"/>
      <c r="I54" s="149"/>
      <c r="J54" s="150"/>
      <c r="K54" s="171">
        <f t="shared" si="13"/>
        <v>0</v>
      </c>
    </row>
    <row r="55" spans="4:11" ht="6.75" customHeight="1" thickTop="1" thickBot="1" x14ac:dyDescent="0.3"/>
    <row r="56" spans="4:11" ht="15.75" customHeight="1" thickTop="1" thickBot="1" x14ac:dyDescent="0.3">
      <c r="E56" s="172" t="s">
        <v>61</v>
      </c>
      <c r="F56" s="183"/>
      <c r="G56" s="173"/>
      <c r="H56" s="173"/>
      <c r="I56" s="172" t="s">
        <v>60</v>
      </c>
      <c r="J56" s="183"/>
    </row>
    <row r="57" spans="4:11" s="174" customFormat="1" ht="19.5" customHeight="1" thickTop="1" thickBot="1" x14ac:dyDescent="0.3"/>
    <row r="58" spans="4:11" ht="19.5" hidden="1" customHeight="1" thickBot="1" x14ac:dyDescent="0.3"/>
    <row r="59" spans="4:11" ht="25.5" hidden="1" customHeight="1" thickTop="1" x14ac:dyDescent="0.25">
      <c r="D59" s="413" t="s">
        <v>58</v>
      </c>
      <c r="H59" s="213" t="str">
        <f>TEXT(DATEVALUE(Day &amp; ", " &amp; Month &amp; ", " &amp; Year), "ddd, dd mmm yyyy")</f>
        <v>Mon, 01 Jul 2019</v>
      </c>
      <c r="I59" s="213"/>
      <c r="J59" s="213" t="str">
        <f>"Page " &amp; IF(chkNights = TRUE, (Day * 3), Day * 2)</f>
        <v>Page 2</v>
      </c>
    </row>
    <row r="60" spans="4:11" ht="9" hidden="1" customHeight="1" thickBot="1" x14ac:dyDescent="0.3">
      <c r="D60" s="414"/>
    </row>
    <row r="61" spans="4:11" ht="25.2" hidden="1" thickTop="1" thickBot="1" x14ac:dyDescent="0.3">
      <c r="D61" s="128" t="s">
        <v>47</v>
      </c>
      <c r="E61" s="129" t="s">
        <v>1</v>
      </c>
      <c r="F61" s="129" t="s">
        <v>2</v>
      </c>
      <c r="G61" s="129" t="s">
        <v>3</v>
      </c>
      <c r="H61" s="129" t="s">
        <v>4</v>
      </c>
      <c r="I61" s="129" t="s">
        <v>5</v>
      </c>
      <c r="J61" s="129" t="s">
        <v>48</v>
      </c>
      <c r="K61" s="130" t="s">
        <v>7</v>
      </c>
    </row>
    <row r="62" spans="4:11" ht="13.8" hidden="1" x14ac:dyDescent="0.25">
      <c r="D62" s="131" t="s">
        <v>49</v>
      </c>
      <c r="E62" s="188"/>
      <c r="F62" s="189"/>
      <c r="G62" s="189"/>
      <c r="H62" s="189"/>
      <c r="I62" s="189"/>
      <c r="J62" s="190"/>
      <c r="K62" s="135">
        <f>SUM(E62:J62)</f>
        <v>0</v>
      </c>
    </row>
    <row r="63" spans="4:11" ht="13.8" hidden="1" x14ac:dyDescent="0.25">
      <c r="D63" s="131" t="s">
        <v>50</v>
      </c>
      <c r="E63" s="191"/>
      <c r="F63" s="192"/>
      <c r="G63" s="192"/>
      <c r="H63" s="192"/>
      <c r="I63" s="192"/>
      <c r="J63" s="193"/>
      <c r="K63" s="135">
        <f t="shared" ref="K63:K72" si="16">SUM(E63:J63)</f>
        <v>0</v>
      </c>
    </row>
    <row r="64" spans="4:11" ht="13.8" hidden="1" x14ac:dyDescent="0.25">
      <c r="D64" s="131" t="s">
        <v>107</v>
      </c>
      <c r="E64" s="300"/>
      <c r="F64" s="301"/>
      <c r="G64" s="301"/>
      <c r="H64" s="301"/>
      <c r="I64" s="301"/>
      <c r="J64" s="302"/>
      <c r="K64" s="135">
        <f t="shared" si="16"/>
        <v>0</v>
      </c>
    </row>
    <row r="65" spans="4:15" ht="13.8" hidden="1" x14ac:dyDescent="0.25">
      <c r="D65" s="131" t="s">
        <v>50</v>
      </c>
      <c r="E65" s="300"/>
      <c r="F65" s="301"/>
      <c r="G65" s="301"/>
      <c r="H65" s="301"/>
      <c r="I65" s="301"/>
      <c r="J65" s="302"/>
      <c r="K65" s="135">
        <f t="shared" si="16"/>
        <v>0</v>
      </c>
    </row>
    <row r="66" spans="4:15" ht="13.8" hidden="1" x14ac:dyDescent="0.25">
      <c r="D66" s="131" t="s">
        <v>51</v>
      </c>
      <c r="E66" s="191"/>
      <c r="F66" s="192"/>
      <c r="G66" s="192"/>
      <c r="H66" s="192"/>
      <c r="I66" s="192"/>
      <c r="J66" s="193"/>
      <c r="K66" s="135">
        <f t="shared" si="16"/>
        <v>0</v>
      </c>
    </row>
    <row r="67" spans="4:15" ht="13.8" hidden="1" x14ac:dyDescent="0.25">
      <c r="D67" s="131" t="s">
        <v>50</v>
      </c>
      <c r="E67" s="191"/>
      <c r="F67" s="192"/>
      <c r="G67" s="192"/>
      <c r="H67" s="192"/>
      <c r="I67" s="192"/>
      <c r="J67" s="193"/>
      <c r="K67" s="135">
        <f t="shared" si="16"/>
        <v>0</v>
      </c>
    </row>
    <row r="68" spans="4:15" ht="13.8" hidden="1" x14ac:dyDescent="0.25">
      <c r="D68" s="131" t="s">
        <v>52</v>
      </c>
      <c r="E68" s="191"/>
      <c r="F68" s="192"/>
      <c r="G68" s="192"/>
      <c r="H68" s="192"/>
      <c r="I68" s="192"/>
      <c r="J68" s="193"/>
      <c r="K68" s="135">
        <f t="shared" si="16"/>
        <v>0</v>
      </c>
    </row>
    <row r="69" spans="4:15" ht="14.4" hidden="1" thickBot="1" x14ac:dyDescent="0.3">
      <c r="D69" s="131" t="s">
        <v>50</v>
      </c>
      <c r="E69" s="194"/>
      <c r="F69" s="195"/>
      <c r="G69" s="195"/>
      <c r="H69" s="195"/>
      <c r="I69" s="195"/>
      <c r="J69" s="196"/>
      <c r="K69" s="135">
        <f t="shared" si="16"/>
        <v>0</v>
      </c>
    </row>
    <row r="70" spans="4:15" ht="24" hidden="1" x14ac:dyDescent="0.25">
      <c r="D70" s="131" t="s">
        <v>53</v>
      </c>
      <c r="E70" s="134">
        <f>E62+E64+E66+E68</f>
        <v>0</v>
      </c>
      <c r="F70" s="134">
        <f t="shared" ref="F70:J70" si="17">F62+F64+F66+F68</f>
        <v>0</v>
      </c>
      <c r="G70" s="134">
        <f t="shared" si="17"/>
        <v>0</v>
      </c>
      <c r="H70" s="134">
        <f t="shared" si="17"/>
        <v>0</v>
      </c>
      <c r="I70" s="134">
        <f t="shared" si="17"/>
        <v>0</v>
      </c>
      <c r="J70" s="134">
        <f t="shared" si="17"/>
        <v>0</v>
      </c>
      <c r="K70" s="136">
        <f t="shared" si="16"/>
        <v>0</v>
      </c>
    </row>
    <row r="71" spans="4:15" ht="24.6" hidden="1" thickBot="1" x14ac:dyDescent="0.3">
      <c r="D71" s="132" t="s">
        <v>54</v>
      </c>
      <c r="E71" s="139">
        <f>E63+E65+E67+E69</f>
        <v>0</v>
      </c>
      <c r="F71" s="139">
        <f t="shared" ref="F71:J71" si="18">F63+F65+F67+F69</f>
        <v>0</v>
      </c>
      <c r="G71" s="139">
        <f t="shared" si="18"/>
        <v>0</v>
      </c>
      <c r="H71" s="139">
        <f t="shared" si="18"/>
        <v>0</v>
      </c>
      <c r="I71" s="139">
        <f t="shared" si="18"/>
        <v>0</v>
      </c>
      <c r="J71" s="139">
        <f t="shared" si="18"/>
        <v>0</v>
      </c>
      <c r="K71" s="135">
        <f t="shared" si="16"/>
        <v>0</v>
      </c>
    </row>
    <row r="72" spans="4:15" ht="24.6" hidden="1" thickBot="1" x14ac:dyDescent="0.35">
      <c r="D72" s="133" t="s">
        <v>55</v>
      </c>
      <c r="E72" s="184"/>
      <c r="F72" s="185"/>
      <c r="G72" s="185"/>
      <c r="H72" s="185"/>
      <c r="I72" s="185"/>
      <c r="J72" s="186"/>
      <c r="K72" s="171">
        <f t="shared" si="16"/>
        <v>0</v>
      </c>
      <c r="O72" s="137"/>
    </row>
    <row r="73" spans="4:15" ht="6.75" hidden="1" customHeight="1" thickTop="1" thickBot="1" x14ac:dyDescent="0.3"/>
    <row r="74" spans="4:15" ht="16.5" hidden="1" customHeight="1" thickTop="1" thickBot="1" x14ac:dyDescent="0.3">
      <c r="E74" s="172" t="s">
        <v>61</v>
      </c>
      <c r="F74" s="187"/>
      <c r="G74" s="173"/>
      <c r="H74" s="173"/>
      <c r="I74" s="172" t="s">
        <v>60</v>
      </c>
      <c r="J74" s="187"/>
    </row>
    <row r="75" spans="4:15" s="174" customFormat="1" ht="14.4" hidden="1" thickTop="1" thickBot="1" x14ac:dyDescent="0.3"/>
    <row r="84" spans="6:6" x14ac:dyDescent="0.25">
      <c r="F84" s="199">
        <v>2</v>
      </c>
    </row>
  </sheetData>
  <sheetProtection sheet="1" objects="1" scenarios="1" selectLockedCells="1"/>
  <customSheetViews>
    <customSheetView guid="{9679493F-7CDF-46D6-BE72-B12FE11A478F}" scale="170" showGridLines="0" showRowCol="0">
      <selection activeCell="E4" sqref="E4"/>
    </customSheetView>
    <customSheetView guid="{7982FB7F-E997-4C70-8B2B-B628B46385D2}" scale="212" showGridLines="0" showRowCol="0" topLeftCell="A59">
      <selection activeCell="E62" sqref="E62"/>
    </customSheetView>
    <customSheetView guid="{505FDB09-1B2F-4C19-8222-6158EDD21A0E}" scale="189" showGridLines="0" showRowCol="0" topLeftCell="A41">
      <selection activeCell="E44" sqref="E44"/>
    </customSheetView>
    <customSheetView guid="{E9A9889A-61F5-47D0-A5C6-BF43493EDD61}" scale="189" showGridLines="0" showRowCol="0" topLeftCell="A23">
      <selection activeCell="E26" sqref="E26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LongMonth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5" r:id="rId4" name="chkAfternoonShift">
          <controlPr defaultSize="0" autoLine="0" linkedCell="G5" r:id="rId5">
            <anchor moveWithCells="1">
              <from>
                <xdr:col>5</xdr:col>
                <xdr:colOff>99060</xdr:colOff>
                <xdr:row>4</xdr:row>
                <xdr:rowOff>22860</xdr:rowOff>
              </from>
              <to>
                <xdr:col>7</xdr:col>
                <xdr:colOff>487680</xdr:colOff>
                <xdr:row>4</xdr:row>
                <xdr:rowOff>228600</xdr:rowOff>
              </to>
            </anchor>
          </controlPr>
        </control>
      </mc:Choice>
      <mc:Fallback>
        <control shapeId="10255" r:id="rId4" name="chkAfternoonShift"/>
      </mc:Fallback>
    </mc:AlternateContent>
    <mc:AlternateContent xmlns:mc="http://schemas.openxmlformats.org/markup-compatibility/2006">
      <mc:Choice Requires="x14">
        <control shapeId="10252" r:id="rId6" name="chkNightShift">
          <controlPr defaultSize="0" autoLine="0" linkedCell="G4" r:id="rId7">
            <anchor moveWithCells="1">
              <from>
                <xdr:col>5</xdr:col>
                <xdr:colOff>99060</xdr:colOff>
                <xdr:row>3</xdr:row>
                <xdr:rowOff>22860</xdr:rowOff>
              </from>
              <to>
                <xdr:col>7</xdr:col>
                <xdr:colOff>487680</xdr:colOff>
                <xdr:row>4</xdr:row>
                <xdr:rowOff>45720</xdr:rowOff>
              </to>
            </anchor>
          </controlPr>
        </control>
      </mc:Choice>
      <mc:Fallback>
        <control shapeId="10252" r:id="rId6" name="chkNightShift"/>
      </mc:Fallback>
    </mc:AlternateContent>
    <mc:AlternateContent xmlns:mc="http://schemas.openxmlformats.org/markup-compatibility/2006">
      <mc:Choice Requires="x14">
        <control shapeId="10250" r:id="rId8" name="cmdClearAfternoonShift">
          <controlPr defaultSize="0" autoLine="0" r:id="rId9">
            <anchor moveWithCells="1">
              <from>
                <xdr:col>4</xdr:col>
                <xdr:colOff>160020</xdr:colOff>
                <xdr:row>75</xdr:row>
                <xdr:rowOff>0</xdr:rowOff>
              </from>
              <to>
                <xdr:col>6</xdr:col>
                <xdr:colOff>365760</xdr:colOff>
                <xdr:row>76</xdr:row>
                <xdr:rowOff>121920</xdr:rowOff>
              </to>
            </anchor>
          </controlPr>
        </control>
      </mc:Choice>
      <mc:Fallback>
        <control shapeId="10250" r:id="rId8" name="cmdClearAfternoon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144780</xdr:colOff>
                <xdr:row>40</xdr:row>
                <xdr:rowOff>22860</xdr:rowOff>
              </from>
              <to>
                <xdr:col>6</xdr:col>
                <xdr:colOff>320040</xdr:colOff>
                <xdr:row>40</xdr:row>
                <xdr:rowOff>312420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48" r:id="rId12" name="cmdClearNightShift">
          <controlPr defaultSize="0" autoLine="0" r:id="rId13">
            <anchor moveWithCells="1">
              <from>
                <xdr:col>4</xdr:col>
                <xdr:colOff>121920</xdr:colOff>
                <xdr:row>39</xdr:row>
                <xdr:rowOff>0</xdr:rowOff>
              </from>
              <to>
                <xdr:col>6</xdr:col>
                <xdr:colOff>350520</xdr:colOff>
                <xdr:row>40</xdr:row>
                <xdr:rowOff>114300</xdr:rowOff>
              </to>
            </anchor>
          </controlPr>
        </control>
      </mc:Choice>
      <mc:Fallback>
        <control shapeId="10248" r:id="rId12" name="cmdClearNightShift"/>
      </mc:Fallback>
    </mc:AlternateContent>
    <mc:AlternateContent xmlns:mc="http://schemas.openxmlformats.org/markup-compatibility/2006">
      <mc:Choice Requires="x14">
        <control shapeId="10243" r:id="rId14" name="cmdClearAll">
          <controlPr defaultSize="0" autoLine="0" autoPict="0" r:id="rId15">
            <anchor moveWithCells="1">
              <from>
                <xdr:col>7</xdr:col>
                <xdr:colOff>563880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99060</xdr:rowOff>
              </to>
            </anchor>
          </controlPr>
        </control>
      </mc:Choice>
      <mc:Fallback>
        <control shapeId="10243" r:id="rId14" name="cmdClearAll"/>
      </mc:Fallback>
    </mc:AlternateContent>
    <mc:AlternateContent xmlns:mc="http://schemas.openxmlformats.org/markup-compatibility/2006">
      <mc:Choice Requires="x14">
        <control shapeId="10241" r:id="rId16" name="cmdInject">
          <controlPr defaultSize="0" autoLine="0" autoPict="0" r:id="rId17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99060</xdr:rowOff>
              </to>
            </anchor>
          </controlPr>
        </control>
      </mc:Choice>
      <mc:Fallback>
        <control shapeId="10241" r:id="rId16" name="cmdInjec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09375" defaultRowHeight="13.2" x14ac:dyDescent="0.25"/>
  <cols>
    <col min="1" max="2" width="9.109375" style="201"/>
    <col min="3" max="3" width="8.5546875" style="201" customWidth="1"/>
    <col min="4" max="4" width="4.5546875" style="201" customWidth="1"/>
    <col min="5" max="5" width="14" style="201" customWidth="1"/>
    <col min="6" max="7" width="9.109375" style="201"/>
    <col min="8" max="8" width="12.44140625" style="201" customWidth="1"/>
    <col min="9" max="9" width="9.109375" style="201"/>
    <col min="10" max="10" width="12.109375" style="201" customWidth="1"/>
    <col min="11" max="11" width="9.109375" style="201"/>
    <col min="12" max="12" width="10.6640625" style="201" customWidth="1"/>
    <col min="13" max="13" width="9.109375" style="201"/>
    <col min="14" max="14" width="10.44140625" style="201" customWidth="1"/>
    <col min="15" max="15" width="9.109375" style="201"/>
    <col min="16" max="16" width="15.109375" style="201" customWidth="1"/>
    <col min="17" max="17" width="19.5546875" style="201" customWidth="1"/>
    <col min="18" max="16384" width="9.109375" style="201"/>
  </cols>
  <sheetData>
    <row r="3" spans="4:17" ht="13.8" thickBot="1" x14ac:dyDescent="0.3"/>
    <row r="4" spans="4:17" ht="14.4" thickTop="1" thickBot="1" x14ac:dyDescent="0.3">
      <c r="D4" s="417" t="s">
        <v>65</v>
      </c>
      <c r="E4" s="418"/>
      <c r="H4" s="211" t="s">
        <v>76</v>
      </c>
      <c r="J4" s="211" t="s">
        <v>77</v>
      </c>
      <c r="L4" s="211" t="s">
        <v>78</v>
      </c>
      <c r="N4" s="211" t="s">
        <v>79</v>
      </c>
      <c r="P4" s="257" t="s">
        <v>91</v>
      </c>
      <c r="Q4" s="258" t="s">
        <v>125</v>
      </c>
    </row>
    <row r="5" spans="4:17" ht="13.8" thickTop="1" x14ac:dyDescent="0.25">
      <c r="D5" s="202">
        <v>1</v>
      </c>
      <c r="E5" s="205" t="s">
        <v>66</v>
      </c>
      <c r="H5" s="208">
        <v>1</v>
      </c>
      <c r="J5" s="208">
        <v>1</v>
      </c>
      <c r="L5" s="208">
        <v>1</v>
      </c>
      <c r="N5" s="208">
        <v>1</v>
      </c>
      <c r="P5" s="259" t="s">
        <v>92</v>
      </c>
      <c r="Q5" s="260">
        <v>2019</v>
      </c>
    </row>
    <row r="6" spans="4:17" ht="13.8" thickBot="1" x14ac:dyDescent="0.3">
      <c r="D6" s="203">
        <v>2</v>
      </c>
      <c r="E6" s="206" t="s">
        <v>67</v>
      </c>
      <c r="H6" s="209">
        <v>2</v>
      </c>
      <c r="J6" s="209">
        <v>2</v>
      </c>
      <c r="L6" s="209">
        <v>2</v>
      </c>
      <c r="N6" s="209">
        <v>2</v>
      </c>
      <c r="P6" s="261" t="s">
        <v>93</v>
      </c>
      <c r="Q6" s="262" t="s">
        <v>123</v>
      </c>
    </row>
    <row r="7" spans="4:17" ht="13.8" thickTop="1" x14ac:dyDescent="0.25">
      <c r="D7" s="203">
        <v>3</v>
      </c>
      <c r="E7" s="206" t="s">
        <v>68</v>
      </c>
      <c r="H7" s="209">
        <v>3</v>
      </c>
      <c r="J7" s="209">
        <v>3</v>
      </c>
      <c r="L7" s="209">
        <v>3</v>
      </c>
      <c r="N7" s="209">
        <v>3</v>
      </c>
    </row>
    <row r="8" spans="4:17" x14ac:dyDescent="0.25">
      <c r="D8" s="203">
        <v>4</v>
      </c>
      <c r="E8" s="206" t="s">
        <v>69</v>
      </c>
      <c r="H8" s="209">
        <v>4</v>
      </c>
      <c r="J8" s="209">
        <v>4</v>
      </c>
      <c r="L8" s="209">
        <v>4</v>
      </c>
      <c r="N8" s="209">
        <v>4</v>
      </c>
    </row>
    <row r="9" spans="4:17" x14ac:dyDescent="0.25">
      <c r="D9" s="203">
        <v>5</v>
      </c>
      <c r="E9" s="206" t="s">
        <v>70</v>
      </c>
      <c r="H9" s="209">
        <v>5</v>
      </c>
      <c r="J9" s="209">
        <v>5</v>
      </c>
      <c r="L9" s="209">
        <v>5</v>
      </c>
      <c r="N9" s="209">
        <v>5</v>
      </c>
    </row>
    <row r="10" spans="4:17" x14ac:dyDescent="0.25">
      <c r="D10" s="203">
        <v>6</v>
      </c>
      <c r="E10" s="206" t="s">
        <v>71</v>
      </c>
      <c r="H10" s="209">
        <v>6</v>
      </c>
      <c r="J10" s="209">
        <v>6</v>
      </c>
      <c r="L10" s="209">
        <v>6</v>
      </c>
      <c r="N10" s="209">
        <v>6</v>
      </c>
    </row>
    <row r="11" spans="4:17" x14ac:dyDescent="0.25">
      <c r="D11" s="203">
        <v>7</v>
      </c>
      <c r="E11" s="206" t="s">
        <v>72</v>
      </c>
      <c r="H11" s="209">
        <v>7</v>
      </c>
      <c r="J11" s="209">
        <v>7</v>
      </c>
      <c r="L11" s="209">
        <v>7</v>
      </c>
      <c r="N11" s="209">
        <v>7</v>
      </c>
    </row>
    <row r="12" spans="4:17" x14ac:dyDescent="0.25">
      <c r="D12" s="203">
        <v>8</v>
      </c>
      <c r="E12" s="206" t="s">
        <v>73</v>
      </c>
      <c r="H12" s="209">
        <v>8</v>
      </c>
      <c r="J12" s="209">
        <v>8</v>
      </c>
      <c r="L12" s="209">
        <v>8</v>
      </c>
      <c r="N12" s="209">
        <v>8</v>
      </c>
    </row>
    <row r="13" spans="4:17" x14ac:dyDescent="0.25">
      <c r="D13" s="203">
        <v>9</v>
      </c>
      <c r="E13" s="206" t="s">
        <v>64</v>
      </c>
      <c r="H13" s="209">
        <v>9</v>
      </c>
      <c r="J13" s="209">
        <v>9</v>
      </c>
      <c r="L13" s="209">
        <v>9</v>
      </c>
      <c r="N13" s="209">
        <v>9</v>
      </c>
    </row>
    <row r="14" spans="4:17" x14ac:dyDescent="0.25">
      <c r="D14" s="203">
        <v>10</v>
      </c>
      <c r="E14" s="206" t="s">
        <v>63</v>
      </c>
      <c r="H14" s="209">
        <v>10</v>
      </c>
      <c r="J14" s="209">
        <v>10</v>
      </c>
      <c r="L14" s="209">
        <v>10</v>
      </c>
      <c r="N14" s="209">
        <v>10</v>
      </c>
    </row>
    <row r="15" spans="4:17" x14ac:dyDescent="0.25">
      <c r="D15" s="203">
        <v>11</v>
      </c>
      <c r="E15" s="206" t="s">
        <v>74</v>
      </c>
      <c r="H15" s="209">
        <v>11</v>
      </c>
      <c r="J15" s="209">
        <v>11</v>
      </c>
      <c r="L15" s="209">
        <v>11</v>
      </c>
      <c r="N15" s="209">
        <v>11</v>
      </c>
    </row>
    <row r="16" spans="4:17" ht="13.8" thickBot="1" x14ac:dyDescent="0.3">
      <c r="D16" s="204">
        <v>12</v>
      </c>
      <c r="E16" s="207" t="s">
        <v>75</v>
      </c>
      <c r="H16" s="209">
        <v>12</v>
      </c>
      <c r="J16" s="209">
        <v>12</v>
      </c>
      <c r="L16" s="209">
        <v>12</v>
      </c>
      <c r="N16" s="209">
        <v>12</v>
      </c>
    </row>
    <row r="17" spans="8:14" ht="13.8" thickTop="1" x14ac:dyDescent="0.25">
      <c r="H17" s="209">
        <v>13</v>
      </c>
      <c r="J17" s="209">
        <v>13</v>
      </c>
      <c r="L17" s="209">
        <v>13</v>
      </c>
      <c r="N17" s="209">
        <v>13</v>
      </c>
    </row>
    <row r="18" spans="8:14" x14ac:dyDescent="0.25">
      <c r="H18" s="209">
        <v>14</v>
      </c>
      <c r="J18" s="209">
        <v>14</v>
      </c>
      <c r="L18" s="209">
        <v>14</v>
      </c>
      <c r="N18" s="209">
        <v>14</v>
      </c>
    </row>
    <row r="19" spans="8:14" x14ac:dyDescent="0.25">
      <c r="H19" s="209">
        <v>15</v>
      </c>
      <c r="J19" s="209">
        <v>15</v>
      </c>
      <c r="L19" s="209">
        <v>15</v>
      </c>
      <c r="N19" s="209">
        <v>15</v>
      </c>
    </row>
    <row r="20" spans="8:14" x14ac:dyDescent="0.25">
      <c r="H20" s="209">
        <v>16</v>
      </c>
      <c r="J20" s="209">
        <v>16</v>
      </c>
      <c r="L20" s="209">
        <v>16</v>
      </c>
      <c r="N20" s="209">
        <v>16</v>
      </c>
    </row>
    <row r="21" spans="8:14" x14ac:dyDescent="0.25">
      <c r="H21" s="209">
        <v>17</v>
      </c>
      <c r="J21" s="209">
        <v>17</v>
      </c>
      <c r="L21" s="209">
        <v>17</v>
      </c>
      <c r="N21" s="209">
        <v>17</v>
      </c>
    </row>
    <row r="22" spans="8:14" x14ac:dyDescent="0.25">
      <c r="H22" s="209">
        <v>18</v>
      </c>
      <c r="J22" s="209">
        <v>18</v>
      </c>
      <c r="L22" s="209">
        <v>18</v>
      </c>
      <c r="N22" s="209">
        <v>18</v>
      </c>
    </row>
    <row r="23" spans="8:14" x14ac:dyDescent="0.25">
      <c r="H23" s="209">
        <v>19</v>
      </c>
      <c r="J23" s="209">
        <v>19</v>
      </c>
      <c r="L23" s="209">
        <v>19</v>
      </c>
      <c r="N23" s="209">
        <v>19</v>
      </c>
    </row>
    <row r="24" spans="8:14" x14ac:dyDescent="0.25">
      <c r="H24" s="209">
        <v>20</v>
      </c>
      <c r="J24" s="209">
        <v>20</v>
      </c>
      <c r="L24" s="209">
        <v>20</v>
      </c>
      <c r="N24" s="209">
        <v>20</v>
      </c>
    </row>
    <row r="25" spans="8:14" x14ac:dyDescent="0.25">
      <c r="H25" s="209">
        <v>21</v>
      </c>
      <c r="J25" s="209">
        <v>21</v>
      </c>
      <c r="L25" s="209">
        <v>21</v>
      </c>
      <c r="N25" s="209">
        <v>21</v>
      </c>
    </row>
    <row r="26" spans="8:14" x14ac:dyDescent="0.25">
      <c r="H26" s="209">
        <v>22</v>
      </c>
      <c r="J26" s="209">
        <v>22</v>
      </c>
      <c r="L26" s="209">
        <v>22</v>
      </c>
      <c r="N26" s="209">
        <v>22</v>
      </c>
    </row>
    <row r="27" spans="8:14" x14ac:dyDescent="0.25">
      <c r="H27" s="209">
        <v>23</v>
      </c>
      <c r="J27" s="209">
        <v>23</v>
      </c>
      <c r="L27" s="209">
        <v>23</v>
      </c>
      <c r="N27" s="209">
        <v>23</v>
      </c>
    </row>
    <row r="28" spans="8:14" x14ac:dyDescent="0.25">
      <c r="H28" s="209">
        <v>24</v>
      </c>
      <c r="J28" s="209">
        <v>24</v>
      </c>
      <c r="L28" s="209">
        <v>24</v>
      </c>
      <c r="N28" s="209">
        <v>24</v>
      </c>
    </row>
    <row r="29" spans="8:14" x14ac:dyDescent="0.25">
      <c r="H29" s="209">
        <v>25</v>
      </c>
      <c r="J29" s="209">
        <v>25</v>
      </c>
      <c r="L29" s="209">
        <v>25</v>
      </c>
      <c r="N29" s="209">
        <v>25</v>
      </c>
    </row>
    <row r="30" spans="8:14" x14ac:dyDescent="0.25">
      <c r="H30" s="209">
        <v>26</v>
      </c>
      <c r="J30" s="209">
        <v>26</v>
      </c>
      <c r="L30" s="209">
        <v>26</v>
      </c>
      <c r="N30" s="209">
        <v>26</v>
      </c>
    </row>
    <row r="31" spans="8:14" x14ac:dyDescent="0.25">
      <c r="H31" s="209">
        <v>27</v>
      </c>
      <c r="J31" s="209">
        <v>27</v>
      </c>
      <c r="L31" s="209">
        <v>27</v>
      </c>
      <c r="N31" s="209">
        <v>27</v>
      </c>
    </row>
    <row r="32" spans="8:14" ht="13.8" thickBot="1" x14ac:dyDescent="0.3">
      <c r="H32" s="209">
        <v>28</v>
      </c>
      <c r="J32" s="209">
        <v>28</v>
      </c>
      <c r="L32" s="210">
        <v>28</v>
      </c>
      <c r="N32" s="209">
        <v>28</v>
      </c>
    </row>
    <row r="33" spans="8:14" ht="14.4" thickTop="1" thickBot="1" x14ac:dyDescent="0.3">
      <c r="H33" s="209">
        <v>29</v>
      </c>
      <c r="J33" s="209">
        <v>29</v>
      </c>
      <c r="N33" s="210">
        <v>29</v>
      </c>
    </row>
    <row r="34" spans="8:14" ht="14.4" thickTop="1" thickBot="1" x14ac:dyDescent="0.3">
      <c r="H34" s="210">
        <v>30</v>
      </c>
      <c r="J34" s="209">
        <v>30</v>
      </c>
    </row>
    <row r="35" spans="8:14" ht="14.4" thickTop="1" thickBot="1" x14ac:dyDescent="0.3">
      <c r="J35" s="210">
        <v>31</v>
      </c>
    </row>
    <row r="36" spans="8:14" ht="13.8" thickTop="1" x14ac:dyDescent="0.25"/>
  </sheetData>
  <sheetProtection sheet="1" objects="1" scenarios="1" selectLockedCells="1"/>
  <customSheetViews>
    <customSheetView guid="{9679493F-7CDF-46D6-BE72-B12FE11A478F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E9A9889A-61F5-47D0-A5C6-BF43493EDD61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87</vt:i4>
      </vt:variant>
    </vt:vector>
  </HeadingPairs>
  <TitlesOfParts>
    <vt:vector size="101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EXShiftStats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oodlypub@gmail.com</cp:lastModifiedBy>
  <cp:lastPrinted>2017-10-22T20:56:47Z</cp:lastPrinted>
  <dcterms:created xsi:type="dcterms:W3CDTF">1998-05-04T06:57:40Z</dcterms:created>
  <dcterms:modified xsi:type="dcterms:W3CDTF">2021-10-18T02:58:01Z</dcterms:modified>
</cp:coreProperties>
</file>