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bkMonRep"/>
  <mc:AlternateContent xmlns:mc="http://schemas.openxmlformats.org/markup-compatibility/2006">
    <mc:Choice Requires="x15">
      <x15ac:absPath xmlns:x15ac="http://schemas.microsoft.com/office/spreadsheetml/2010/11/ac" url="C:\Roadblock\Dev\MonthlyReport\"/>
    </mc:Choice>
  </mc:AlternateContent>
  <bookViews>
    <workbookView xWindow="132" yWindow="12" windowWidth="9420" windowHeight="4752" tabRatio="689" firstSheet="6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62913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10" i="16" l="1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6" i="16"/>
  <c r="D5" i="16"/>
  <c r="I52" i="11" l="1"/>
  <c r="C3" i="16" l="1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N9" i="16" s="1"/>
  <c r="L8" i="16"/>
  <c r="M6" i="16"/>
  <c r="K8" i="16"/>
  <c r="L11" i="16"/>
  <c r="M11" i="16"/>
  <c r="K7" i="16"/>
  <c r="L5" i="16"/>
  <c r="K6" i="16"/>
  <c r="M5" i="16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<sst xmlns="http://schemas.openxmlformats.org/spreadsheetml/2006/main" count="279" uniqueCount="126">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</sst>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11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14112"/>
        <c:axId val="315612936"/>
      </c:barChart>
      <c:catAx>
        <c:axId val="31561411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2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5612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41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13328"/>
        <c:axId val="315614504"/>
      </c:barChart>
      <c:catAx>
        <c:axId val="31561332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45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5614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33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29128"/>
        <c:axId val="318527560"/>
      </c:barChart>
      <c:catAx>
        <c:axId val="318529128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2756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8527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291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30304"/>
        <c:axId val="318534224"/>
      </c:barChart>
      <c:catAx>
        <c:axId val="31853030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42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5342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03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529912"/>
        <c:axId val="318532656"/>
      </c:barChart>
      <c:catAx>
        <c:axId val="318529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3265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853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2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31088"/>
        <c:axId val="318531872"/>
      </c:barChart>
      <c:catAx>
        <c:axId val="31853108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1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531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10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8527168"/>
        <c:axId val="318533832"/>
      </c:barChart>
      <c:catAx>
        <c:axId val="31852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33832"/>
        <c:crosses val="autoZero"/>
        <c:auto val="1"/>
        <c:lblAlgn val="ctr"/>
        <c:lblOffset val="100"/>
        <c:noMultiLvlLbl val="0"/>
      </c:catAx>
      <c:valAx>
        <c:axId val="31853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784"/>
        <c:axId val="338740080"/>
      </c:scatterChart>
      <c:valAx>
        <c:axId val="33874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0080"/>
        <c:crosses val="autoZero"/>
        <c:crossBetween val="midCat"/>
      </c:valAx>
      <c:valAx>
        <c:axId val="33874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8744000"/>
        <c:axId val="338745176"/>
      </c:barChart>
      <c:catAx>
        <c:axId val="33874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5176"/>
        <c:crosses val="autoZero"/>
        <c:auto val="1"/>
        <c:lblAlgn val="ctr"/>
        <c:lblOffset val="100"/>
        <c:noMultiLvlLbl val="0"/>
      </c:catAx>
      <c:valAx>
        <c:axId val="33874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42040"/>
        <c:axId val="338740472"/>
      </c:barChart>
      <c:catAx>
        <c:axId val="33874204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404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38740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420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39296"/>
        <c:axId val="338739688"/>
      </c:barChart>
      <c:catAx>
        <c:axId val="33873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39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739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39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23</xdr:row>
          <xdr:rowOff>22860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365760</xdr:colOff>
          <xdr:row>58</xdr:row>
          <xdr:rowOff>312420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19" zoomScale="85" zoomScaleNormal="130" workbookViewId="0">
      <selection activeCell="K11" sqref="K11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8" t="str">
        <f>"AMOUNT OF FRUIT CONFISCATED AT " &amp; Location &amp; " (kg)"</f>
        <v>AMOUNT OF FRUIT CONFISCATED AT OODLA WIRRA (kg)</v>
      </c>
      <c r="C2" s="359"/>
      <c r="D2" s="359"/>
      <c r="E2" s="359"/>
      <c r="F2" s="359"/>
      <c r="G2" s="359"/>
      <c r="H2" s="359"/>
      <c r="I2" s="359"/>
      <c r="J2" s="360"/>
      <c r="K2" s="360"/>
      <c r="L2" s="361"/>
    </row>
    <row r="3" spans="2:13" ht="16.2" thickBot="1" x14ac:dyDescent="0.35">
      <c r="B3" s="362" t="str">
        <f>Month &amp;  " " &amp; Year</f>
        <v>July 2019</v>
      </c>
      <c r="C3" s="363"/>
      <c r="D3" s="363"/>
      <c r="E3" s="363"/>
      <c r="F3" s="363"/>
      <c r="G3" s="363"/>
      <c r="H3" s="363"/>
      <c r="I3" s="363"/>
      <c r="J3" s="364"/>
      <c r="K3" s="364"/>
      <c r="L3" s="36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topLeftCell="A7" zoomScale="70" zoomScaleNormal="70" workbookViewId="0">
      <selection activeCell="F16" sqref="F16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6" t="str">
        <f>"COMMERCIAL VEHICLES PASSING THROUGH " &amp; Location</f>
        <v>COMMERCIAL VEHICLES PASSING THROUGH OODLA WIRRA</v>
      </c>
      <c r="C2" s="367"/>
      <c r="D2" s="367"/>
      <c r="E2" s="367"/>
      <c r="F2" s="367"/>
      <c r="G2" s="367"/>
      <c r="H2" s="367"/>
      <c r="I2" s="368"/>
    </row>
    <row r="3" spans="2:9" ht="22.95" customHeight="1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5" zoomScaleNormal="85" workbookViewId="0">
      <selection activeCell="F20" sqref="F20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"CARS PASSING THROUGH " &amp; Location</f>
        <v>CARS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5" t="e">
        <f>#REF!&amp; " " &amp;#REF!</f>
        <v>#REF!</v>
      </c>
      <c r="B2" s="376"/>
      <c r="C2" s="376"/>
      <c r="D2" s="376"/>
      <c r="E2" s="376"/>
      <c r="F2" s="376"/>
      <c r="G2" s="376"/>
      <c r="H2" s="37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E14" sqref="E14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"CARAVANS &amp; CAMPERS PASSING THROUGH " &amp; Location</f>
        <v>CARAVANS &amp; CAMPERS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M13" sqref="M13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72" t="str">
        <f>"VEHICLES PASSING THROUGH " &amp; Location &amp; " - MIDNIGHT SHIFT "</f>
        <v xml:space="preserve">VEHICLES PASSING THROUGH OODLA WIRRA - MIDNIGHT SHIFT 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78"/>
    </row>
    <row r="3" spans="2:14" ht="16.2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abSelected="1" zoomScaleNormal="100" workbookViewId="0">
      <selection activeCell="K5" sqref="K5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388" t="str">
        <f>Location&amp;" - Traffic Volumes per Shift - "&amp; Month &amp; " " &amp; Year</f>
        <v>OODLA WIRRA - Traffic Volumes per Shift - July 2019</v>
      </c>
      <c r="D3" s="389"/>
      <c r="E3" s="389"/>
      <c r="F3" s="389"/>
      <c r="G3" s="389"/>
      <c r="H3" s="390"/>
      <c r="J3" s="385" t="s">
        <v>119</v>
      </c>
      <c r="K3" s="386"/>
      <c r="L3" s="386"/>
      <c r="M3" s="386"/>
      <c r="N3" s="387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355">
        <v>1</v>
      </c>
      <c r="D5" s="357" t="str">
        <f>TEXT(DATE(Year,MONTH(1&amp;Month),DateShiftStats),"dddd")</f>
        <v>Monday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 t="shared" ref="K5:M11" si="0">SUMIF($D$5:$D$35,$J5,E$5:E$35)</f>
        <v>0</v>
      </c>
      <c r="L5" s="328">
        <f t="shared" si="0"/>
        <v>0</v>
      </c>
      <c r="M5" s="329">
        <f t="shared" si="0"/>
        <v>0</v>
      </c>
      <c r="N5" s="330">
        <f>SUM(K5:M5)</f>
        <v>0</v>
      </c>
    </row>
    <row r="6" spans="3:14" ht="15" x14ac:dyDescent="0.25">
      <c r="C6" s="355">
        <v>2</v>
      </c>
      <c r="D6" s="357" t="str">
        <f>TEXT(DATE(Year,MONTH(1&amp;Month),DateShiftStats),"dddd")</f>
        <v>Tuesday</v>
      </c>
      <c r="E6" s="282">
        <v>0</v>
      </c>
      <c r="F6" s="271">
        <v>0</v>
      </c>
      <c r="G6" s="283">
        <v>0</v>
      </c>
      <c r="H6" s="277">
        <f t="shared" ref="H6:H35" si="1">SUM(E6:G6)</f>
        <v>0</v>
      </c>
      <c r="J6" s="321" t="s">
        <v>113</v>
      </c>
      <c r="K6" s="331">
        <f t="shared" si="0"/>
        <v>0</v>
      </c>
      <c r="L6" s="331">
        <f t="shared" si="0"/>
        <v>0</v>
      </c>
      <c r="M6" s="332">
        <f t="shared" si="0"/>
        <v>0</v>
      </c>
      <c r="N6" s="333">
        <f t="shared" ref="N6:N11" si="2">SUM(K6:M6)</f>
        <v>0</v>
      </c>
    </row>
    <row r="7" spans="3:14" ht="15" x14ac:dyDescent="0.25">
      <c r="C7" s="355">
        <v>3</v>
      </c>
      <c r="D7" s="357" t="str">
        <f>TEXT(DATE(Year,MONTH(1&amp;Month),DateShiftStats),"dddd")</f>
        <v>Wednesday</v>
      </c>
      <c r="E7" s="282">
        <v>0</v>
      </c>
      <c r="F7" s="271">
        <v>0</v>
      </c>
      <c r="G7" s="283">
        <v>0</v>
      </c>
      <c r="H7" s="277">
        <f t="shared" si="1"/>
        <v>0</v>
      </c>
      <c r="J7" s="321" t="s">
        <v>114</v>
      </c>
      <c r="K7" s="331">
        <f t="shared" si="0"/>
        <v>0</v>
      </c>
      <c r="L7" s="331">
        <f t="shared" si="0"/>
        <v>0</v>
      </c>
      <c r="M7" s="332">
        <f t="shared" si="0"/>
        <v>0</v>
      </c>
      <c r="N7" s="333">
        <f t="shared" si="2"/>
        <v>0</v>
      </c>
    </row>
    <row r="8" spans="3:14" ht="15" x14ac:dyDescent="0.25">
      <c r="C8" s="355">
        <v>4</v>
      </c>
      <c r="D8" s="357" t="str">
        <f>TEXT(DATE(Year,MONTH(1&amp;Month),DateShiftStats),"dddd")</f>
        <v>Thursday</v>
      </c>
      <c r="E8" s="282">
        <v>0</v>
      </c>
      <c r="F8" s="271">
        <v>0</v>
      </c>
      <c r="G8" s="283">
        <v>0</v>
      </c>
      <c r="H8" s="277">
        <f t="shared" si="1"/>
        <v>0</v>
      </c>
      <c r="J8" s="321" t="s">
        <v>115</v>
      </c>
      <c r="K8" s="331">
        <f t="shared" si="0"/>
        <v>0</v>
      </c>
      <c r="L8" s="331">
        <f t="shared" si="0"/>
        <v>0</v>
      </c>
      <c r="M8" s="332">
        <f t="shared" si="0"/>
        <v>0</v>
      </c>
      <c r="N8" s="333">
        <f t="shared" si="2"/>
        <v>0</v>
      </c>
    </row>
    <row r="9" spans="3:14" ht="15" x14ac:dyDescent="0.25">
      <c r="C9" s="355">
        <v>5</v>
      </c>
      <c r="D9" s="357" t="str">
        <f>TEXT(DATE(Year,MONTH(1&amp;Month),DateShiftStats),"dddd")</f>
        <v>Friday</v>
      </c>
      <c r="E9" s="282">
        <v>0</v>
      </c>
      <c r="F9" s="271">
        <v>0</v>
      </c>
      <c r="G9" s="283">
        <v>0</v>
      </c>
      <c r="H9" s="277">
        <f t="shared" si="1"/>
        <v>0</v>
      </c>
      <c r="J9" s="321" t="s">
        <v>116</v>
      </c>
      <c r="K9" s="331">
        <f t="shared" si="0"/>
        <v>0</v>
      </c>
      <c r="L9" s="331">
        <f t="shared" si="0"/>
        <v>0</v>
      </c>
      <c r="M9" s="332">
        <f t="shared" si="0"/>
        <v>0</v>
      </c>
      <c r="N9" s="333">
        <f t="shared" si="2"/>
        <v>0</v>
      </c>
    </row>
    <row r="10" spans="3:14" ht="15" x14ac:dyDescent="0.25">
      <c r="C10" s="355">
        <v>6</v>
      </c>
      <c r="D10" s="357" t="str">
        <f>TEXT(DATE(Year,MONTH(1&amp;Month),DateShiftStats),"dddd")</f>
        <v>Saturday</v>
      </c>
      <c r="E10" s="282">
        <v>0</v>
      </c>
      <c r="F10" s="271">
        <v>0</v>
      </c>
      <c r="G10" s="283">
        <v>0</v>
      </c>
      <c r="H10" s="277">
        <f t="shared" si="1"/>
        <v>0</v>
      </c>
      <c r="J10" s="321" t="s">
        <v>117</v>
      </c>
      <c r="K10" s="331">
        <f t="shared" si="0"/>
        <v>0</v>
      </c>
      <c r="L10" s="331">
        <f t="shared" si="0"/>
        <v>0</v>
      </c>
      <c r="M10" s="332">
        <f t="shared" si="0"/>
        <v>0</v>
      </c>
      <c r="N10" s="333">
        <f t="shared" si="2"/>
        <v>0</v>
      </c>
    </row>
    <row r="11" spans="3:14" ht="15.6" thickBot="1" x14ac:dyDescent="0.3">
      <c r="C11" s="355">
        <v>7</v>
      </c>
      <c r="D11" s="357" t="str">
        <f>TEXT(DATE(Year,MONTH(1&amp;Month),DateShiftStats),"dddd")</f>
        <v>Sunday</v>
      </c>
      <c r="E11" s="282">
        <v>0</v>
      </c>
      <c r="F11" s="271">
        <v>0</v>
      </c>
      <c r="G11" s="283">
        <v>0</v>
      </c>
      <c r="H11" s="277">
        <f t="shared" si="1"/>
        <v>0</v>
      </c>
      <c r="J11" s="323" t="s">
        <v>118</v>
      </c>
      <c r="K11" s="334">
        <f t="shared" si="0"/>
        <v>0</v>
      </c>
      <c r="L11" s="334">
        <f t="shared" si="0"/>
        <v>0</v>
      </c>
      <c r="M11" s="335">
        <f t="shared" si="0"/>
        <v>0</v>
      </c>
      <c r="N11" s="336">
        <f t="shared" si="2"/>
        <v>0</v>
      </c>
    </row>
    <row r="12" spans="3:14" ht="15.6" thickBot="1" x14ac:dyDescent="0.3">
      <c r="C12" s="355">
        <v>8</v>
      </c>
      <c r="D12" s="357" t="str">
        <f>TEXT(DATE(Year,MONTH(1&amp;Month),DateShiftStats),"dddd")</f>
        <v>Monday</v>
      </c>
      <c r="E12" s="282">
        <v>0</v>
      </c>
      <c r="F12" s="271">
        <v>0</v>
      </c>
      <c r="G12" s="283">
        <v>0</v>
      </c>
      <c r="H12" s="277">
        <f t="shared" si="1"/>
        <v>0</v>
      </c>
      <c r="J12" s="324" t="s">
        <v>120</v>
      </c>
      <c r="K12" s="337">
        <f>SUM(K5:K11)</f>
        <v>0</v>
      </c>
      <c r="L12" s="338">
        <f t="shared" ref="L12:M12" si="3">SUM(L5:L11)</f>
        <v>0</v>
      </c>
      <c r="M12" s="339">
        <f t="shared" si="3"/>
        <v>0</v>
      </c>
      <c r="N12" s="340">
        <f>SUM(K12:M12)</f>
        <v>0</v>
      </c>
    </row>
    <row r="13" spans="3:14" ht="15" x14ac:dyDescent="0.25">
      <c r="C13" s="355">
        <v>9</v>
      </c>
      <c r="D13" s="357" t="str">
        <f>TEXT(DATE(Year,MONTH(1&amp;Month),DateShiftStats),"dddd")</f>
        <v>Tuesday</v>
      </c>
      <c r="E13" s="282">
        <v>0</v>
      </c>
      <c r="F13" s="271">
        <v>0</v>
      </c>
      <c r="G13" s="283">
        <v>0</v>
      </c>
      <c r="H13" s="277">
        <f t="shared" si="1"/>
        <v>0</v>
      </c>
    </row>
    <row r="14" spans="3:14" ht="15" x14ac:dyDescent="0.25">
      <c r="C14" s="355">
        <v>10</v>
      </c>
      <c r="D14" s="357" t="str">
        <f>TEXT(DATE(Year,MONTH(1&amp;Month),DateShiftStats),"dddd")</f>
        <v>Wednesday</v>
      </c>
      <c r="E14" s="282">
        <v>0</v>
      </c>
      <c r="F14" s="271">
        <v>0</v>
      </c>
      <c r="G14" s="283">
        <v>0</v>
      </c>
      <c r="H14" s="277">
        <f t="shared" si="1"/>
        <v>0</v>
      </c>
    </row>
    <row r="15" spans="3:14" ht="15" x14ac:dyDescent="0.25">
      <c r="C15" s="355">
        <v>11</v>
      </c>
      <c r="D15" s="357" t="str">
        <f>TEXT(DATE(Year,MONTH(1&amp;Month),DateShiftStats),"dddd")</f>
        <v>Thursday</v>
      </c>
      <c r="E15" s="282">
        <v>0</v>
      </c>
      <c r="F15" s="271">
        <v>0</v>
      </c>
      <c r="G15" s="283">
        <v>0</v>
      </c>
      <c r="H15" s="277">
        <f t="shared" si="1"/>
        <v>0</v>
      </c>
    </row>
    <row r="16" spans="3:14" ht="15" x14ac:dyDescent="0.25">
      <c r="C16" s="355">
        <v>12</v>
      </c>
      <c r="D16" s="357" t="str">
        <f>TEXT(DATE(Year,MONTH(1&amp;Month),DateShiftStats),"dddd")</f>
        <v>Friday</v>
      </c>
      <c r="E16" s="282">
        <v>0</v>
      </c>
      <c r="F16" s="271">
        <v>0</v>
      </c>
      <c r="G16" s="283">
        <v>0</v>
      </c>
      <c r="H16" s="277">
        <f t="shared" si="1"/>
        <v>0</v>
      </c>
    </row>
    <row r="17" spans="3:14" ht="15" x14ac:dyDescent="0.25">
      <c r="C17" s="355">
        <v>13</v>
      </c>
      <c r="D17" s="357" t="str">
        <f>TEXT(DATE(Year,MONTH(1&amp;Month),DateShiftStats),"dddd")</f>
        <v>Saturday</v>
      </c>
      <c r="E17" s="282">
        <v>0</v>
      </c>
      <c r="F17" s="271">
        <v>0</v>
      </c>
      <c r="G17" s="283">
        <v>0</v>
      </c>
      <c r="H17" s="277">
        <f t="shared" si="1"/>
        <v>0</v>
      </c>
    </row>
    <row r="18" spans="3:14" ht="15" x14ac:dyDescent="0.25">
      <c r="C18" s="355">
        <v>14</v>
      </c>
      <c r="D18" s="357" t="str">
        <f>TEXT(DATE(Year,MONTH(1&amp;Month),DateShiftStats),"dddd")</f>
        <v>Sunday</v>
      </c>
      <c r="E18" s="282">
        <v>0</v>
      </c>
      <c r="F18" s="271">
        <v>0</v>
      </c>
      <c r="G18" s="283">
        <v>0</v>
      </c>
      <c r="H18" s="277">
        <f t="shared" si="1"/>
        <v>0</v>
      </c>
    </row>
    <row r="19" spans="3:14" ht="15" x14ac:dyDescent="0.25">
      <c r="C19" s="355">
        <v>15</v>
      </c>
      <c r="D19" s="357" t="str">
        <f>TEXT(DATE(Year,MONTH(1&amp;Month),DateShiftStats),"dddd")</f>
        <v>Monday</v>
      </c>
      <c r="E19" s="282">
        <v>0</v>
      </c>
      <c r="F19" s="271">
        <v>0</v>
      </c>
      <c r="G19" s="283">
        <v>0</v>
      </c>
      <c r="H19" s="277">
        <f t="shared" si="1"/>
        <v>0</v>
      </c>
    </row>
    <row r="20" spans="3:14" ht="15" x14ac:dyDescent="0.25">
      <c r="C20" s="355">
        <v>16</v>
      </c>
      <c r="D20" s="357" t="str">
        <f>TEXT(DATE(Year,MONTH(1&amp;Month),DateShiftStats),"dddd")</f>
        <v>Tuesday</v>
      </c>
      <c r="E20" s="282">
        <v>0</v>
      </c>
      <c r="F20" s="271">
        <v>0</v>
      </c>
      <c r="G20" s="283">
        <v>0</v>
      </c>
      <c r="H20" s="277">
        <f t="shared" si="1"/>
        <v>0</v>
      </c>
    </row>
    <row r="21" spans="3:14" ht="15" x14ac:dyDescent="0.25">
      <c r="C21" s="355">
        <v>17</v>
      </c>
      <c r="D21" s="357" t="str">
        <f>TEXT(DATE(Year,MONTH(1&amp;Month),DateShiftStats),"dddd")</f>
        <v>Wednesday</v>
      </c>
      <c r="E21" s="282">
        <v>0</v>
      </c>
      <c r="F21" s="271">
        <v>0</v>
      </c>
      <c r="G21" s="283">
        <v>0</v>
      </c>
      <c r="H21" s="277">
        <f t="shared" si="1"/>
        <v>0</v>
      </c>
    </row>
    <row r="22" spans="3:14" ht="15" x14ac:dyDescent="0.25">
      <c r="C22" s="355">
        <v>18</v>
      </c>
      <c r="D22" s="357" t="str">
        <f>TEXT(DATE(Year,MONTH(1&amp;Month),DateShiftStats),"dddd")</f>
        <v>Thursday</v>
      </c>
      <c r="E22" s="282">
        <v>0</v>
      </c>
      <c r="F22" s="271">
        <v>0</v>
      </c>
      <c r="G22" s="283">
        <v>0</v>
      </c>
      <c r="H22" s="277">
        <f t="shared" si="1"/>
        <v>0</v>
      </c>
    </row>
    <row r="23" spans="3:14" ht="15" x14ac:dyDescent="0.25">
      <c r="C23" s="355">
        <v>19</v>
      </c>
      <c r="D23" s="357" t="str">
        <f>TEXT(DATE(Year,MONTH(1&amp;Month),DateShiftStats),"dddd")</f>
        <v>Friday</v>
      </c>
      <c r="E23" s="282">
        <v>0</v>
      </c>
      <c r="F23" s="271">
        <v>0</v>
      </c>
      <c r="G23" s="283">
        <v>0</v>
      </c>
      <c r="H23" s="277">
        <f t="shared" si="1"/>
        <v>0</v>
      </c>
    </row>
    <row r="24" spans="3:14" ht="15" x14ac:dyDescent="0.25">
      <c r="C24" s="355">
        <v>20</v>
      </c>
      <c r="D24" s="357" t="str">
        <f>TEXT(DATE(Year,MONTH(1&amp;Month),DateShiftStats),"dddd")</f>
        <v>Saturday</v>
      </c>
      <c r="E24" s="282">
        <v>0</v>
      </c>
      <c r="F24" s="271">
        <v>0</v>
      </c>
      <c r="G24" s="283">
        <v>0</v>
      </c>
      <c r="H24" s="277">
        <f t="shared" si="1"/>
        <v>0</v>
      </c>
    </row>
    <row r="25" spans="3:14" ht="15" x14ac:dyDescent="0.25">
      <c r="C25" s="355">
        <v>21</v>
      </c>
      <c r="D25" s="357" t="str">
        <f>TEXT(DATE(Year,MONTH(1&amp;Month),DateShiftStats),"dddd")</f>
        <v>Sunday</v>
      </c>
      <c r="E25" s="282">
        <v>0</v>
      </c>
      <c r="F25" s="271">
        <v>0</v>
      </c>
      <c r="G25" s="283">
        <v>0</v>
      </c>
      <c r="H25" s="277">
        <f t="shared" si="1"/>
        <v>0</v>
      </c>
    </row>
    <row r="26" spans="3:14" ht="15.6" thickBot="1" x14ac:dyDescent="0.3">
      <c r="C26" s="355">
        <v>22</v>
      </c>
      <c r="D26" s="357" t="str">
        <f>TEXT(DATE(Year,MONTH(1&amp;Month),DateShiftStats),"dddd")</f>
        <v>Monday</v>
      </c>
      <c r="E26" s="282">
        <v>0</v>
      </c>
      <c r="F26" s="271">
        <v>0</v>
      </c>
      <c r="G26" s="283">
        <v>0</v>
      </c>
      <c r="H26" s="277">
        <f t="shared" si="1"/>
        <v>0</v>
      </c>
    </row>
    <row r="27" spans="3:14" ht="16.5" customHeight="1" x14ac:dyDescent="0.25">
      <c r="C27" s="355">
        <v>23</v>
      </c>
      <c r="D27" s="357" t="str">
        <f>TEXT(DATE(Year,MONTH(1&amp;Month),DateShiftStats),"dddd")</f>
        <v>Tuesday</v>
      </c>
      <c r="E27" s="282">
        <v>0</v>
      </c>
      <c r="F27" s="271">
        <v>0</v>
      </c>
      <c r="G27" s="283">
        <v>0</v>
      </c>
      <c r="H27" s="277">
        <f t="shared" si="1"/>
        <v>0</v>
      </c>
      <c r="J27" s="379" t="s">
        <v>121</v>
      </c>
      <c r="K27" s="380"/>
      <c r="L27" s="380"/>
      <c r="M27" s="380"/>
      <c r="N27" s="381"/>
    </row>
    <row r="28" spans="3:14" ht="16.5" customHeight="1" thickBot="1" x14ac:dyDescent="0.3">
      <c r="C28" s="355">
        <v>24</v>
      </c>
      <c r="D28" s="357" t="str">
        <f>TEXT(DATE(Year,MONTH(1&amp;Month),DateShiftStats),"dddd")</f>
        <v>Wednesday</v>
      </c>
      <c r="E28" s="282">
        <v>0</v>
      </c>
      <c r="F28" s="271">
        <v>0</v>
      </c>
      <c r="G28" s="283">
        <v>0</v>
      </c>
      <c r="H28" s="277">
        <f t="shared" si="1"/>
        <v>0</v>
      </c>
      <c r="J28" s="382"/>
      <c r="K28" s="383"/>
      <c r="L28" s="383"/>
      <c r="M28" s="383"/>
      <c r="N28" s="384"/>
    </row>
    <row r="29" spans="3:14" ht="15.75" customHeight="1" thickBot="1" x14ac:dyDescent="0.3">
      <c r="C29" s="355">
        <v>25</v>
      </c>
      <c r="D29" s="357" t="str">
        <f>TEXT(DATE(Year,MONTH(1&amp;Month),DateShiftStats),"dddd")</f>
        <v>Thursday</v>
      </c>
      <c r="E29" s="282">
        <v>0</v>
      </c>
      <c r="F29" s="271">
        <v>0</v>
      </c>
      <c r="G29" s="283">
        <v>0</v>
      </c>
      <c r="H29" s="277">
        <f t="shared" si="1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355">
        <v>26</v>
      </c>
      <c r="D30" s="357" t="str">
        <f>TEXT(DATE(Year,MONTH(1&amp;Month),DateShiftStats),"dddd")</f>
        <v>Friday</v>
      </c>
      <c r="E30" s="282">
        <v>0</v>
      </c>
      <c r="F30" s="271">
        <v>0</v>
      </c>
      <c r="G30" s="283">
        <v>0</v>
      </c>
      <c r="H30" s="277">
        <f t="shared" si="1"/>
        <v>0</v>
      </c>
      <c r="J30" s="343" t="s">
        <v>112</v>
      </c>
      <c r="K30" s="346">
        <f t="shared" ref="K30:K36" si="4">AVERAGEIF(D$5:D$35,J30,E$5:E$35)</f>
        <v>0</v>
      </c>
      <c r="L30" s="341">
        <f t="shared" ref="L30:L36" si="5">AVERAGEIF(D$5:D$35,J30,F$5:F$35)</f>
        <v>0</v>
      </c>
      <c r="M30" s="341">
        <f t="shared" ref="M30:M36" si="6">AVERAGEIF(D$5:D$35,J30,G$5:G$35)</f>
        <v>0</v>
      </c>
      <c r="N30" s="351">
        <f>AVERAGE(K30:M30)</f>
        <v>0</v>
      </c>
    </row>
    <row r="31" spans="3:14" ht="15.6" x14ac:dyDescent="0.3">
      <c r="C31" s="355">
        <v>27</v>
      </c>
      <c r="D31" s="357" t="str">
        <f>TEXT(DATE(Year,MONTH(1&amp;Month),DateShiftStats),"dddd")</f>
        <v>Saturday</v>
      </c>
      <c r="E31" s="282">
        <v>0</v>
      </c>
      <c r="F31" s="271">
        <v>0</v>
      </c>
      <c r="G31" s="283">
        <v>0</v>
      </c>
      <c r="H31" s="277">
        <f t="shared" si="1"/>
        <v>0</v>
      </c>
      <c r="J31" s="344" t="s">
        <v>113</v>
      </c>
      <c r="K31" s="347">
        <f t="shared" si="4"/>
        <v>0</v>
      </c>
      <c r="L31" s="342">
        <f t="shared" si="5"/>
        <v>0</v>
      </c>
      <c r="M31" s="342">
        <f t="shared" si="6"/>
        <v>0</v>
      </c>
      <c r="N31" s="352">
        <f>AVERAGE(K31:M31)</f>
        <v>0</v>
      </c>
    </row>
    <row r="32" spans="3:14" ht="15.6" x14ac:dyDescent="0.3">
      <c r="C32" s="355">
        <v>28</v>
      </c>
      <c r="D32" s="357" t="str">
        <f>TEXT(DATE(Year,MONTH(1&amp;Month),DateShiftStats),"dddd")</f>
        <v>Sunday</v>
      </c>
      <c r="E32" s="282">
        <v>0</v>
      </c>
      <c r="F32" s="271">
        <v>0</v>
      </c>
      <c r="G32" s="283">
        <v>0</v>
      </c>
      <c r="H32" s="277">
        <f t="shared" si="1"/>
        <v>0</v>
      </c>
      <c r="J32" s="344" t="s">
        <v>114</v>
      </c>
      <c r="K32" s="347">
        <f t="shared" si="4"/>
        <v>0</v>
      </c>
      <c r="L32" s="342">
        <f t="shared" si="5"/>
        <v>0</v>
      </c>
      <c r="M32" s="342">
        <f t="shared" si="6"/>
        <v>0</v>
      </c>
      <c r="N32" s="352">
        <f t="shared" ref="N32:N36" si="7">AVERAGE(K32:M32)</f>
        <v>0</v>
      </c>
    </row>
    <row r="33" spans="3:14" ht="15.6" x14ac:dyDescent="0.3">
      <c r="C33" s="355">
        <v>29</v>
      </c>
      <c r="D33" s="357" t="str">
        <f>TEXT(DATE(Year,MONTH(1&amp;Month),DateShiftStats),"dddd")</f>
        <v>Monday</v>
      </c>
      <c r="E33" s="282">
        <v>0</v>
      </c>
      <c r="F33" s="271">
        <v>0</v>
      </c>
      <c r="G33" s="283">
        <v>0</v>
      </c>
      <c r="H33" s="277">
        <f t="shared" si="1"/>
        <v>0</v>
      </c>
      <c r="J33" s="344" t="s">
        <v>115</v>
      </c>
      <c r="K33" s="347">
        <f t="shared" si="4"/>
        <v>0</v>
      </c>
      <c r="L33" s="342">
        <f t="shared" si="5"/>
        <v>0</v>
      </c>
      <c r="M33" s="342">
        <f t="shared" si="6"/>
        <v>0</v>
      </c>
      <c r="N33" s="352">
        <f t="shared" si="7"/>
        <v>0</v>
      </c>
    </row>
    <row r="34" spans="3:14" ht="15.6" x14ac:dyDescent="0.3">
      <c r="C34" s="355">
        <v>30</v>
      </c>
      <c r="D34" s="357" t="str">
        <f>TEXT(DATE(Year,MONTH(1&amp;Month),DateShiftStats),"dddd")</f>
        <v>Tuesday</v>
      </c>
      <c r="E34" s="282">
        <v>0</v>
      </c>
      <c r="F34" s="271">
        <v>0</v>
      </c>
      <c r="G34" s="283">
        <v>0</v>
      </c>
      <c r="H34" s="277">
        <f t="shared" si="1"/>
        <v>0</v>
      </c>
      <c r="J34" s="344" t="s">
        <v>116</v>
      </c>
      <c r="K34" s="347">
        <f t="shared" si="4"/>
        <v>0</v>
      </c>
      <c r="L34" s="342">
        <f t="shared" si="5"/>
        <v>0</v>
      </c>
      <c r="M34" s="342">
        <f t="shared" si="6"/>
        <v>0</v>
      </c>
      <c r="N34" s="352">
        <f t="shared" si="7"/>
        <v>0</v>
      </c>
    </row>
    <row r="35" spans="3:14" ht="16.2" thickBot="1" x14ac:dyDescent="0.35">
      <c r="C35" s="356">
        <v>31</v>
      </c>
      <c r="D35" s="357" t="str">
        <f>TEXT(DATE(Year,MONTH(1&amp;Month),DateShiftStats),"dddd")</f>
        <v>Wednesday</v>
      </c>
      <c r="E35" s="284">
        <v>0</v>
      </c>
      <c r="F35" s="272">
        <v>0</v>
      </c>
      <c r="G35" s="285">
        <v>0</v>
      </c>
      <c r="H35" s="278">
        <f t="shared" si="1"/>
        <v>0</v>
      </c>
      <c r="J35" s="344" t="s">
        <v>117</v>
      </c>
      <c r="K35" s="347">
        <f t="shared" si="4"/>
        <v>0</v>
      </c>
      <c r="L35" s="342">
        <f t="shared" si="5"/>
        <v>0</v>
      </c>
      <c r="M35" s="342">
        <f t="shared" si="6"/>
        <v>0</v>
      </c>
      <c r="N35" s="352">
        <f t="shared" si="7"/>
        <v>0</v>
      </c>
    </row>
    <row r="36" spans="3:14" ht="16.5" customHeight="1" thickBot="1" x14ac:dyDescent="0.35">
      <c r="C36" s="391" t="s">
        <v>124</v>
      </c>
      <c r="D36" s="392"/>
      <c r="E36" s="286">
        <f>SUM(E5:E35)</f>
        <v>0</v>
      </c>
      <c r="F36" s="287">
        <f t="shared" ref="F36:H36" si="8">SUM(F5:F35)</f>
        <v>0</v>
      </c>
      <c r="G36" s="288">
        <f t="shared" si="8"/>
        <v>0</v>
      </c>
      <c r="H36" s="289">
        <f t="shared" si="8"/>
        <v>0</v>
      </c>
      <c r="J36" s="345" t="s">
        <v>118</v>
      </c>
      <c r="K36" s="348">
        <f t="shared" si="4"/>
        <v>0</v>
      </c>
      <c r="L36" s="349">
        <f t="shared" si="5"/>
        <v>0</v>
      </c>
      <c r="M36" s="349">
        <f t="shared" si="6"/>
        <v>0</v>
      </c>
      <c r="N36" s="352">
        <f t="shared" si="7"/>
        <v>0</v>
      </c>
    </row>
    <row r="37" spans="3:14" ht="16.5" customHeight="1" thickBot="1" x14ac:dyDescent="0.35">
      <c r="D37" s="270"/>
      <c r="J37" s="350" t="s">
        <v>122</v>
      </c>
      <c r="K37" s="354">
        <f>AVERAGE(K30:K36)</f>
        <v>0</v>
      </c>
      <c r="L37" s="354">
        <f t="shared" ref="L37:M37" si="9">AVERAGE(L30:L36)</f>
        <v>0</v>
      </c>
      <c r="M37" s="354">
        <f t="shared" si="9"/>
        <v>0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topLeftCell="A22" zoomScale="85" zoomScaleNormal="85" workbookViewId="0">
      <selection activeCell="I10" sqref="I10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93" t="str">
        <f xml:space="preserve"> "VEHICLES WITH FRUIT PASSING THROUGH " &amp; Location</f>
        <v>VEHICLES WITH FRUIT PASSING THROUGH OODLA WIRRA</v>
      </c>
      <c r="D2" s="394"/>
      <c r="E2" s="394"/>
      <c r="F2" s="394"/>
      <c r="G2" s="394"/>
      <c r="H2" s="394"/>
      <c r="I2" s="394"/>
      <c r="J2" s="395"/>
    </row>
    <row r="3" spans="3:10" ht="16.2" thickBot="1" x14ac:dyDescent="0.3">
      <c r="C3" s="396" t="str">
        <f>Month &amp; " " &amp; Year</f>
        <v>July 2019</v>
      </c>
      <c r="D3" s="397"/>
      <c r="E3" s="397"/>
      <c r="F3" s="397"/>
      <c r="G3" s="397"/>
      <c r="H3" s="397"/>
      <c r="I3" s="397"/>
      <c r="J3" s="39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9" t="s">
        <v>86</v>
      </c>
      <c r="D22" s="400"/>
      <c r="E22" s="400"/>
      <c r="F22" s="400"/>
      <c r="G22" s="401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B37" zoomScale="130" zoomScaleNormal="130" workbookViewId="0">
      <selection activeCell="I52" sqref="I52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0</v>
      </c>
      <c r="K52" s="248" t="s">
        <v>106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2"/>
      <c r="E58" s="403"/>
      <c r="F58" s="403"/>
      <c r="G58" s="403"/>
      <c r="H58" s="403"/>
      <c r="I58" s="403"/>
      <c r="J58" s="403"/>
      <c r="K58" s="403"/>
      <c r="L58" s="404"/>
    </row>
    <row r="59" spans="3:13" x14ac:dyDescent="0.25">
      <c r="D59" s="405"/>
      <c r="E59" s="406"/>
      <c r="F59" s="406"/>
      <c r="G59" s="406"/>
      <c r="H59" s="406"/>
      <c r="I59" s="406"/>
      <c r="J59" s="406"/>
      <c r="K59" s="406"/>
      <c r="L59" s="407"/>
    </row>
    <row r="60" spans="3:13" x14ac:dyDescent="0.25">
      <c r="D60" s="405"/>
      <c r="E60" s="406"/>
      <c r="F60" s="406"/>
      <c r="G60" s="406"/>
      <c r="H60" s="406"/>
      <c r="I60" s="406"/>
      <c r="J60" s="406"/>
      <c r="K60" s="406"/>
      <c r="L60" s="407"/>
    </row>
    <row r="61" spans="3:13" x14ac:dyDescent="0.25">
      <c r="D61" s="405"/>
      <c r="E61" s="406"/>
      <c r="F61" s="406"/>
      <c r="G61" s="406"/>
      <c r="H61" s="406"/>
      <c r="I61" s="406"/>
      <c r="J61" s="406"/>
      <c r="K61" s="406"/>
      <c r="L61" s="407"/>
    </row>
    <row r="62" spans="3:13" x14ac:dyDescent="0.25">
      <c r="D62" s="405"/>
      <c r="E62" s="406"/>
      <c r="F62" s="406"/>
      <c r="G62" s="406"/>
      <c r="H62" s="406"/>
      <c r="I62" s="406"/>
      <c r="J62" s="406"/>
      <c r="K62" s="406"/>
      <c r="L62" s="407"/>
    </row>
    <row r="63" spans="3:13" x14ac:dyDescent="0.25">
      <c r="D63" s="405"/>
      <c r="E63" s="406"/>
      <c r="F63" s="406"/>
      <c r="G63" s="406"/>
      <c r="H63" s="406"/>
      <c r="I63" s="406"/>
      <c r="J63" s="406"/>
      <c r="K63" s="406"/>
      <c r="L63" s="407"/>
    </row>
    <row r="64" spans="3:13" x14ac:dyDescent="0.25">
      <c r="D64" s="405"/>
      <c r="E64" s="406"/>
      <c r="F64" s="406"/>
      <c r="G64" s="406"/>
      <c r="H64" s="406"/>
      <c r="I64" s="406"/>
      <c r="J64" s="406"/>
      <c r="K64" s="406"/>
      <c r="L64" s="407"/>
    </row>
    <row r="65" spans="3:13" x14ac:dyDescent="0.25">
      <c r="D65" s="405"/>
      <c r="E65" s="406"/>
      <c r="F65" s="406"/>
      <c r="G65" s="406"/>
      <c r="H65" s="406"/>
      <c r="I65" s="406"/>
      <c r="J65" s="406"/>
      <c r="K65" s="406"/>
      <c r="L65" s="407"/>
    </row>
    <row r="66" spans="3:13" x14ac:dyDescent="0.25">
      <c r="D66" s="405"/>
      <c r="E66" s="406"/>
      <c r="F66" s="406"/>
      <c r="G66" s="406"/>
      <c r="H66" s="406"/>
      <c r="I66" s="406"/>
      <c r="J66" s="406"/>
      <c r="K66" s="406"/>
      <c r="L66" s="407"/>
    </row>
    <row r="67" spans="3:13" x14ac:dyDescent="0.25">
      <c r="D67" s="405"/>
      <c r="E67" s="406"/>
      <c r="F67" s="406"/>
      <c r="G67" s="406"/>
      <c r="H67" s="406"/>
      <c r="I67" s="406"/>
      <c r="J67" s="406"/>
      <c r="K67" s="406"/>
      <c r="L67" s="407"/>
    </row>
    <row r="68" spans="3:13" ht="13.8" thickBot="1" x14ac:dyDescent="0.3">
      <c r="D68" s="408"/>
      <c r="E68" s="409"/>
      <c r="F68" s="409"/>
      <c r="G68" s="409"/>
      <c r="H68" s="409"/>
      <c r="I68" s="409"/>
      <c r="J68" s="409"/>
      <c r="K68" s="409"/>
      <c r="L68" s="41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415" t="s">
        <v>56</v>
      </c>
      <c r="H23" s="214" t="str">
        <f>TEXT(DATEVALUE(Day &amp; ", " &amp; Month &amp; ", " &amp; Year), "ddd, dd mmm, yyyy")</f>
        <v>Wed, 03 Jul, 2019</v>
      </c>
      <c r="I23" s="214"/>
      <c r="J23" s="214" t="str">
        <f>"Page " &amp; IF(chkNights = TRUE, (Day * 3) -2)</f>
        <v>Page 7</v>
      </c>
    </row>
    <row r="24" spans="1:86" ht="6" customHeight="1" thickBot="1" x14ac:dyDescent="0.3">
      <c r="D24" s="416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411" t="s">
        <v>57</v>
      </c>
      <c r="H41" s="212" t="str">
        <f>TEXT(DATEVALUE(Day &amp; ", " &amp; Month &amp; ", " &amp; Year), "ddd, dd mmm, yyyy")</f>
        <v>Wed, 03 Jul, 2019</v>
      </c>
      <c r="I41" s="212"/>
      <c r="J41" s="212" t="str">
        <f>"Page " &amp; IF(chkNights = TRUE, (Day * 3) - 1,IF(chkAfternoons = TRUE,(Day * 2) -1, Day))</f>
        <v>Page 8</v>
      </c>
    </row>
    <row r="42" spans="4:11" ht="6" customHeight="1" thickBot="1" x14ac:dyDescent="0.3">
      <c r="D42" s="41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13" t="s">
        <v>58</v>
      </c>
      <c r="H59" s="213" t="str">
        <f>TEXT(DATEVALUE(Day &amp; ", " &amp; Month &amp; ", " &amp; Year), "ddd, dd mmm yyyy")</f>
        <v>Wed, 03 Jul 2019</v>
      </c>
      <c r="I59" s="213"/>
      <c r="J59" s="213" t="str">
        <f>"Page " &amp; IF(chkNights = TRUE, (Day * 3), Day * 2)</f>
        <v>Page 9</v>
      </c>
    </row>
    <row r="60" spans="4:11" ht="9" customHeight="1" thickBot="1" x14ac:dyDescent="0.3">
      <c r="D60" s="414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7" t="s">
        <v>65</v>
      </c>
      <c r="E4" s="41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 Marampon</cp:lastModifiedBy>
  <cp:lastPrinted>2017-10-22T20:56:47Z</cp:lastPrinted>
  <dcterms:created xsi:type="dcterms:W3CDTF">1998-05-04T06:57:40Z</dcterms:created>
  <dcterms:modified xsi:type="dcterms:W3CDTF">2020-03-26T19:45:35Z</dcterms:modified>
</cp:coreProperties>
</file>