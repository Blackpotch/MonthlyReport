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8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9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+xml"/>
  <Override PartName="/xl/charts/chart10.xml" ContentType="application/vnd.openxmlformats-officedocument.drawingml.chart+xml"/>
  <Override PartName="/xl/drawings/drawing9.xml" ContentType="application/vnd.openxmlformats-officedocument.drawing+xml"/>
  <Override PartName="/xl/charts/chart11.xml" ContentType="application/vnd.openxmlformats-officedocument.drawingml.chart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98244c4d901f4e59" Type="http://schemas.microsoft.com/office/2006/relationships/ui/extensibility" Target="customUI/customUI.xml"/><Relationship Id="R1c085f3c971b4ca1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wbkMonRep"/>
  <mc:AlternateContent xmlns:mc="http://schemas.openxmlformats.org/markup-compatibility/2006">
    <mc:Choice Requires="x15">
      <x15ac:absPath xmlns:x15ac="http://schemas.microsoft.com/office/spreadsheetml/2010/11/ac" url="C:\Stumpers\PIRSA\Dev\MonthlyReport\"/>
    </mc:Choice>
  </mc:AlternateContent>
  <bookViews>
    <workbookView xWindow="132" yWindow="12" windowWidth="9420" windowHeight="4752" tabRatio="689" firstSheet="6" activeTab="6"/>
  </bookViews>
  <sheets>
    <sheet name="Fruit Confiscated" sheetId="1" r:id="rId1"/>
    <sheet name="Commercial Vehicles" sheetId="2" r:id="rId2"/>
    <sheet name="Cars" sheetId="3" r:id="rId3"/>
    <sheet name="Vehicle Counter" sheetId="4" state="hidden" r:id="rId4"/>
    <sheet name="Caravans" sheetId="17" r:id="rId5"/>
    <sheet name="Midnight" sheetId="5" r:id="rId6"/>
    <sheet name="Shift Stats" sheetId="16" r:id="rId7"/>
    <sheet name="Vehicles Carrying Fruit" sheetId="6" r:id="rId8"/>
    <sheet name="Previous Data" sheetId="12" r:id="rId9"/>
    <sheet name="Foodland" sheetId="15" r:id="rId10"/>
    <sheet name="Stock Totals" sheetId="10" r:id="rId11"/>
    <sheet name="Summary" sheetId="11" r:id="rId12"/>
    <sheet name="Data Input" sheetId="13" r:id="rId13"/>
    <sheet name="Data Lists" sheetId="14" state="hidden" r:id="rId14"/>
  </sheets>
  <definedNames>
    <definedName name="AfternoonShift">'Data Input'!$E$62:$J$69,'Data Input'!$E$72:$J$72,'Data Input'!$F$74,'Data Input'!$J$74</definedName>
    <definedName name="Cars" localSheetId="4">Caravans!$C$5:$H$35</definedName>
    <definedName name="Cars">Cars!$C$5:$H$35</definedName>
    <definedName name="Cattle">'Stock Totals'!$D$6</definedName>
    <definedName name="chkAfternoons">'Data Input'!$G$5</definedName>
    <definedName name="chkNights">'Data Input'!$G$4</definedName>
    <definedName name="CommercialVehicles">'Commercial Vehicles'!$C$5:$H$35</definedName>
    <definedName name="DateCaravans">Caravans!$B$5:$B$35</definedName>
    <definedName name="DateComercialVehicles">'Commercial Vehicles'!$B$5:$B$35</definedName>
    <definedName name="DateFruitConfiscated">'Fruit Confiscated'!$B$5:$B$35</definedName>
    <definedName name="DateMidnight">Midnight!$B$5:$B$35</definedName>
    <definedName name="DateShiftStats">'Shift Stats'!$C$5:$C$35</definedName>
    <definedName name="DateVehiclesPassing" localSheetId="4">Caravans!$B$5:$B$35</definedName>
    <definedName name="DateVehiclesPassing">Cars!$B$5:$B$35</definedName>
    <definedName name="DateVehiclesWithFruit">'Vehicles Carrying Fruit'!$C$5:$C$35</definedName>
    <definedName name="Datum">'Data Input'!$E$7</definedName>
    <definedName name="DatumAfternoon">'Data Input'!$E$62</definedName>
    <definedName name="DatumDay">'Data Input'!$E$44</definedName>
    <definedName name="DatumNight">'Data Input'!$E$26</definedName>
    <definedName name="Day">'Data Input'!$E$4</definedName>
    <definedName name="DayLast">'Data Input'!$J$56</definedName>
    <definedName name="DayShift">'Data Input'!$E$44:$J$51,'Data Input'!$E$54:$J$54,'Data Input'!$F$56,'Data Input'!$J$56</definedName>
    <definedName name="EXShiftStats">'Shift Stats'!$D$5:$G$35</definedName>
    <definedName name="February">'Data Lists'!$L$5:$L$32</definedName>
    <definedName name="FFlyHostFruit">'Fruit Confiscated'!$J$36</definedName>
    <definedName name="FruitConfiscated">'Fruit Confiscated'!$C$5:$H$35</definedName>
    <definedName name="FruitFly">Summary!$F$47</definedName>
    <definedName name="HostFruit">'Data Input'!$F$19</definedName>
    <definedName name="LastEntry">'Data Input'!$F$84</definedName>
    <definedName name="LastInput">'Data Input'!$J$74</definedName>
    <definedName name="LeapYear">'Data Lists'!$N$5:$N$33</definedName>
    <definedName name="Location">'Data Lists'!$Q$6</definedName>
    <definedName name="Locations" localSheetId="4">#REF!</definedName>
    <definedName name="Locations">#REF!</definedName>
    <definedName name="LongMonth">'Data Lists'!$J$5:$J$35</definedName>
    <definedName name="Midnight">Midnight!$C$5:$M$35</definedName>
    <definedName name="Month">'Data Lists'!$Q$4</definedName>
    <definedName name="Months">'Data Lists'!$E$5:$E$16</definedName>
    <definedName name="NightShift">'Data Input'!$E$26:$J$33,'Data Input'!$E$36,'Data Input'!$F$36,'Data Input'!$G$36,'Data Input'!$H$36,'Data Input'!$I$36,'Data Input'!$J$36,'Data Input'!$F$38,'Data Input'!$J$38</definedName>
    <definedName name="NonFFlyHostFruit">'Fruit Confiscated'!$K$36</definedName>
    <definedName name="NonHostFruit">'Data Input'!$J$19</definedName>
    <definedName name="Other">'Stock Totals'!$D$8</definedName>
    <definedName name="PBal">Foodland!$C$5</definedName>
    <definedName name="Pigs">'Stock Totals'!$D$7</definedName>
    <definedName name="PrevCattle">'Previous Data'!$H$15</definedName>
    <definedName name="PrevFruitFly">'Previous Data'!$H$20</definedName>
    <definedName name="PreviousFoodlandBalance">'Previous Data'!$H$22</definedName>
    <definedName name="PrevOther">'Previous Data'!$H$17</definedName>
    <definedName name="PrevPigs">'Previous Data'!$H$16</definedName>
    <definedName name="PrevSheep">'Previous Data'!$H$14</definedName>
    <definedName name="PrevTotalCaravans">'Previous Data'!$H$6</definedName>
    <definedName name="PrevTotalCars">'Previous Data'!$H$5</definedName>
    <definedName name="PrevTotalCommVehicles">'Previous Data'!$H$7</definedName>
    <definedName name="PrevTotalFruitConfiscated">'Previous Data'!$H$12</definedName>
    <definedName name="PrevTotalHostFruit">'Previous Data'!$H$10</definedName>
    <definedName name="PrevTotalNonHostFruit">'Previous Data'!$H$11</definedName>
    <definedName name="PrevTotalVehicles">'Previous Data'!$H$4</definedName>
    <definedName name="PrevTotalVehiclesWF">'Previous Data'!$H$8</definedName>
    <definedName name="_xlnm.Print_Area" localSheetId="4">Caravans!$B$2:$I$54</definedName>
    <definedName name="_xlnm.Print_Area" localSheetId="2">Cars!$B$2:$I$54</definedName>
    <definedName name="_xlnm.Print_Area" localSheetId="1">'Commercial Vehicles'!$B$2:$I$52</definedName>
    <definedName name="_xlnm.Print_Area" localSheetId="0">'Fruit Confiscated'!$B$2:$L$51</definedName>
    <definedName name="_xlnm.Print_Area" localSheetId="5">Midnight!$B$2:$N$60</definedName>
    <definedName name="_xlnm.Print_Area" localSheetId="6">'Shift Stats'!$D$3:$H$36</definedName>
    <definedName name="_xlnm.Print_Area" localSheetId="11">Summary!$C$5:$M$69</definedName>
    <definedName name="_xlnm.Print_Area" localSheetId="7">'Vehicles Carrying Fruit'!$C$2:$J$48</definedName>
    <definedName name="Sheep">'Stock Totals'!$D$5</definedName>
    <definedName name="ShiftStats">'Shift Stats'!$E$5:$G$35</definedName>
    <definedName name="ShiftStatsTotal">'Shift Stats'!$H$5:$H$35</definedName>
    <definedName name="ShortMonth">'Data Lists'!$H$5:$H$34</definedName>
    <definedName name="TotalCaravans">Caravans!$I$37</definedName>
    <definedName name="TotalCars" localSheetId="4">Caravans!$I$37</definedName>
    <definedName name="TotalCars">Cars!$I$37</definedName>
    <definedName name="TotalCommVehicles">'Commercial Vehicles'!$I$36</definedName>
    <definedName name="TotalFruitConfiscated">'Fruit Confiscated'!$I$36</definedName>
    <definedName name="TotalFruitTaken">'Fruit Confiscated'!$L$36</definedName>
    <definedName name="TotalStock">'Stock Totals'!$D$9</definedName>
    <definedName name="TotalVehicles">Summary!$H$12</definedName>
    <definedName name="TotalVehiclesWF">'Vehicles Carrying Fruit'!$J$37</definedName>
    <definedName name="VehiclesWF">'Vehicles Carrying Fruit'!$C$5:$I$35</definedName>
    <definedName name="VehiclesWFNSW">'Vehicles Carrying Fruit'!$F$5:$F$35</definedName>
    <definedName name="VehiclesWFOthers">'Vehicles Carrying Fruit'!$I$5:$I$35</definedName>
    <definedName name="VehiclesWFQLD">'Vehicles Carrying Fruit'!$G$5:$G$35</definedName>
    <definedName name="VehiclesWFSA">'Vehicles Carrying Fruit'!$D$5:$D$35</definedName>
    <definedName name="VehiclesWFTOT">'Vehicles Carrying Fruit'!$J$5:$J$35</definedName>
    <definedName name="VehiclesWFVIC">'Vehicles Carrying Fruit'!$E$5:$E$35</definedName>
    <definedName name="VehiclesWFWA">'Vehicles Carrying Fruit'!$H$5:$H$35</definedName>
    <definedName name="VehiclesWithFruit">'Vehicles Carrying Fruit'!$D$5:$I$35</definedName>
    <definedName name="Year">'Data Lists'!$Q$5</definedName>
  </definedNames>
  <calcPr calcId="152511"/>
  <customWorkbookViews>
    <customWorkbookView name="NightShift" guid="{E9A9889A-61F5-47D0-A5C6-BF43493EDD61}" includePrintSettings="0" includeHiddenRowCol="0" maximized="1" xWindow="-8" yWindow="-8" windowWidth="1616" windowHeight="876" tabRatio="689" activeSheetId="13"/>
    <customWorkbookView name="DayShift" guid="{505FDB09-1B2F-4C19-8222-6158EDD21A0E}" includePrintSettings="0" includeHiddenRowCol="0" maximized="1" xWindow="-8" yWindow="-8" windowWidth="1616" windowHeight="876" tabRatio="689" activeSheetId="13"/>
    <customWorkbookView name="AfternoonShift" guid="{7982FB7F-E997-4C70-8B2B-B628B46385D2}" includePrintSettings="0" includeHiddenRowCol="0" maximized="1" xWindow="-8" yWindow="-8" windowWidth="1616" windowHeight="876" tabRatio="689" activeSheetId="13"/>
    <customWorkbookView name="InputTotals" guid="{9679493F-7CDF-46D6-BE72-B12FE11A478F}" includePrintSettings="0" includeHiddenRowCol="0" maximized="1" xWindow="-8" yWindow="-8" windowWidth="1616" windowHeight="876" tabRatio="689" activeSheetId="13"/>
  </customWorkbookViews>
</workbook>
</file>

<file path=xl/calcChain.xml><?xml version="1.0" encoding="utf-8"?>
<calcChain xmlns="http://schemas.openxmlformats.org/spreadsheetml/2006/main">
  <c r="D35" i="16" l="1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6" i="16"/>
  <c r="D7" i="16"/>
  <c r="D8" i="16"/>
  <c r="D9" i="16"/>
  <c r="D10" i="16"/>
  <c r="D11" i="16"/>
  <c r="D12" i="16"/>
  <c r="D13" i="16"/>
  <c r="D14" i="16"/>
  <c r="D15" i="16"/>
  <c r="D16" i="16"/>
  <c r="D17" i="16"/>
  <c r="D18" i="16"/>
  <c r="D19" i="16"/>
  <c r="D5" i="16"/>
  <c r="C3" i="16"/>
  <c r="M9" i="16" l="1"/>
  <c r="L10" i="16" l="1"/>
  <c r="M10" i="16"/>
  <c r="K5" i="16"/>
  <c r="L9" i="16"/>
  <c r="M31" i="16"/>
  <c r="M32" i="16"/>
  <c r="L34" i="16"/>
  <c r="K34" i="16"/>
  <c r="L35" i="16"/>
  <c r="M33" i="16"/>
  <c r="M34" i="16"/>
  <c r="L36" i="16"/>
  <c r="K36" i="16"/>
  <c r="L30" i="16"/>
  <c r="M35" i="16"/>
  <c r="M30" i="16"/>
  <c r="K30" i="16"/>
  <c r="K33" i="16"/>
  <c r="M36" i="16"/>
  <c r="K35" i="16"/>
  <c r="L31" i="16"/>
  <c r="K31" i="16"/>
  <c r="K32" i="16"/>
  <c r="L33" i="16"/>
  <c r="L32" i="16"/>
  <c r="K11" i="16"/>
  <c r="L7" i="16"/>
  <c r="M8" i="16"/>
  <c r="K10" i="16"/>
  <c r="L6" i="16"/>
  <c r="M7" i="16"/>
  <c r="K9" i="16"/>
  <c r="N9" i="16" s="1"/>
  <c r="L8" i="16"/>
  <c r="M6" i="16"/>
  <c r="K8" i="16"/>
  <c r="L11" i="16"/>
  <c r="M11" i="16"/>
  <c r="K7" i="16"/>
  <c r="L5" i="16"/>
  <c r="K6" i="16"/>
  <c r="M5" i="16"/>
  <c r="N5" i="16" l="1"/>
  <c r="N7" i="16"/>
  <c r="N10" i="16"/>
  <c r="L12" i="16"/>
  <c r="N35" i="16"/>
  <c r="N8" i="16"/>
  <c r="N32" i="16"/>
  <c r="N6" i="16"/>
  <c r="N11" i="16"/>
  <c r="N33" i="16"/>
  <c r="M12" i="16"/>
  <c r="M37" i="16"/>
  <c r="N34" i="16"/>
  <c r="K12" i="16"/>
  <c r="N31" i="16"/>
  <c r="L37" i="16"/>
  <c r="N36" i="16"/>
  <c r="N30" i="16"/>
  <c r="K37" i="16"/>
  <c r="F70" i="13"/>
  <c r="G70" i="13"/>
  <c r="H70" i="13"/>
  <c r="I70" i="13"/>
  <c r="J70" i="13"/>
  <c r="F71" i="13"/>
  <c r="G71" i="13"/>
  <c r="H71" i="13"/>
  <c r="I71" i="13"/>
  <c r="J71" i="13"/>
  <c r="E71" i="13"/>
  <c r="E70" i="13"/>
  <c r="F52" i="13"/>
  <c r="G52" i="13"/>
  <c r="H52" i="13"/>
  <c r="I52" i="13"/>
  <c r="J52" i="13"/>
  <c r="F53" i="13"/>
  <c r="G53" i="13"/>
  <c r="H53" i="13"/>
  <c r="I53" i="13"/>
  <c r="J53" i="13"/>
  <c r="E53" i="13"/>
  <c r="E52" i="13"/>
  <c r="N12" i="16" l="1"/>
  <c r="F35" i="13"/>
  <c r="G35" i="13"/>
  <c r="H35" i="13"/>
  <c r="I35" i="13"/>
  <c r="J35" i="13"/>
  <c r="F34" i="13"/>
  <c r="G34" i="13"/>
  <c r="H34" i="13"/>
  <c r="I34" i="13"/>
  <c r="J34" i="13"/>
  <c r="E35" i="13"/>
  <c r="E34" i="13"/>
  <c r="F10" i="13" l="1"/>
  <c r="G10" i="13"/>
  <c r="H10" i="13"/>
  <c r="I10" i="13"/>
  <c r="F9" i="13"/>
  <c r="G9" i="13"/>
  <c r="H9" i="13"/>
  <c r="I9" i="13"/>
  <c r="J9" i="13"/>
  <c r="J10" i="13"/>
  <c r="E9" i="13"/>
  <c r="E10" i="13"/>
  <c r="K64" i="13"/>
  <c r="K65" i="13"/>
  <c r="B2" i="17"/>
  <c r="H37" i="17"/>
  <c r="G37" i="17"/>
  <c r="F37" i="17"/>
  <c r="E37" i="17"/>
  <c r="D37" i="17"/>
  <c r="C37" i="17"/>
  <c r="I35" i="17"/>
  <c r="I34" i="17"/>
  <c r="I33" i="17"/>
  <c r="I32" i="17"/>
  <c r="I31" i="17"/>
  <c r="I30" i="17"/>
  <c r="I29" i="17"/>
  <c r="I28" i="17"/>
  <c r="I27" i="17"/>
  <c r="I26" i="17"/>
  <c r="I25" i="17"/>
  <c r="I24" i="17"/>
  <c r="I23" i="17"/>
  <c r="I22" i="17"/>
  <c r="I21" i="17"/>
  <c r="I20" i="17"/>
  <c r="I19" i="17"/>
  <c r="I18" i="17"/>
  <c r="I17" i="17"/>
  <c r="I16" i="17"/>
  <c r="I15" i="17"/>
  <c r="I14" i="17"/>
  <c r="I13" i="17"/>
  <c r="I12" i="17"/>
  <c r="I11" i="17"/>
  <c r="I10" i="17"/>
  <c r="I9" i="17"/>
  <c r="I8" i="17"/>
  <c r="I7" i="17"/>
  <c r="I6" i="17"/>
  <c r="I5" i="17"/>
  <c r="B3" i="17"/>
  <c r="I37" i="17" l="1"/>
  <c r="L16" i="11" s="1"/>
  <c r="K9" i="13"/>
  <c r="K10" i="13"/>
  <c r="K28" i="13"/>
  <c r="K29" i="13"/>
  <c r="K46" i="13"/>
  <c r="K47" i="13"/>
  <c r="D39" i="17" l="1"/>
  <c r="H16" i="11"/>
  <c r="C39" i="17"/>
  <c r="E39" i="17"/>
  <c r="F39" i="17"/>
  <c r="H39" i="17"/>
  <c r="G39" i="17"/>
  <c r="J41" i="13"/>
  <c r="J23" i="13"/>
  <c r="I39" i="17" l="1"/>
  <c r="I52" i="11"/>
  <c r="L52" i="11"/>
  <c r="F36" i="16" l="1"/>
  <c r="G36" i="16"/>
  <c r="E36" i="16"/>
  <c r="H35" i="16"/>
  <c r="H6" i="16"/>
  <c r="H7" i="16"/>
  <c r="H8" i="16"/>
  <c r="H9" i="16"/>
  <c r="H10" i="16"/>
  <c r="H11" i="16"/>
  <c r="H12" i="16"/>
  <c r="H13" i="16"/>
  <c r="H14" i="16"/>
  <c r="H15" i="16"/>
  <c r="H16" i="16"/>
  <c r="H17" i="16"/>
  <c r="H18" i="16"/>
  <c r="H19" i="16"/>
  <c r="H20" i="16"/>
  <c r="H21" i="16"/>
  <c r="H22" i="16"/>
  <c r="H23" i="16"/>
  <c r="H24" i="16"/>
  <c r="H25" i="16"/>
  <c r="H26" i="16"/>
  <c r="H27" i="16"/>
  <c r="H28" i="16"/>
  <c r="H29" i="16"/>
  <c r="H30" i="16"/>
  <c r="H31" i="16"/>
  <c r="H32" i="16"/>
  <c r="H33" i="16"/>
  <c r="H34" i="16"/>
  <c r="H5" i="16"/>
  <c r="F52" i="11" l="1"/>
  <c r="H36" i="16"/>
  <c r="B3" i="1"/>
  <c r="B3" i="2"/>
  <c r="L12" i="1" l="1"/>
  <c r="L47" i="11"/>
  <c r="L41" i="11"/>
  <c r="L39" i="11"/>
  <c r="L37" i="11"/>
  <c r="L35" i="11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F14" i="15"/>
  <c r="F13" i="15"/>
  <c r="F12" i="15"/>
  <c r="F11" i="15"/>
  <c r="C5" i="15"/>
  <c r="F10" i="15" s="1"/>
  <c r="F5" i="15"/>
  <c r="F4" i="15"/>
  <c r="J59" i="13"/>
  <c r="H23" i="13"/>
  <c r="H41" i="13"/>
  <c r="H59" i="13"/>
  <c r="J19" i="13"/>
  <c r="F19" i="13"/>
  <c r="F17" i="13"/>
  <c r="G17" i="13"/>
  <c r="H17" i="13"/>
  <c r="I17" i="13"/>
  <c r="J17" i="13"/>
  <c r="E17" i="13"/>
  <c r="F7" i="13"/>
  <c r="G7" i="13"/>
  <c r="H7" i="13"/>
  <c r="I7" i="13"/>
  <c r="J7" i="13"/>
  <c r="F8" i="13"/>
  <c r="G8" i="13"/>
  <c r="H8" i="13"/>
  <c r="I8" i="13"/>
  <c r="J8" i="13"/>
  <c r="F11" i="13"/>
  <c r="G11" i="13"/>
  <c r="H11" i="13"/>
  <c r="I11" i="13"/>
  <c r="J11" i="13"/>
  <c r="F12" i="13"/>
  <c r="G12" i="13"/>
  <c r="H12" i="13"/>
  <c r="I12" i="13"/>
  <c r="J12" i="13"/>
  <c r="F13" i="13"/>
  <c r="G13" i="13"/>
  <c r="H13" i="13"/>
  <c r="I13" i="13"/>
  <c r="J13" i="13"/>
  <c r="F14" i="13"/>
  <c r="G14" i="13"/>
  <c r="H14" i="13"/>
  <c r="I14" i="13"/>
  <c r="J14" i="13"/>
  <c r="E8" i="13"/>
  <c r="E11" i="13"/>
  <c r="E12" i="13"/>
  <c r="E13" i="13"/>
  <c r="E14" i="13"/>
  <c r="E7" i="13"/>
  <c r="E15" i="13" l="1"/>
  <c r="E16" i="13"/>
  <c r="G16" i="13"/>
  <c r="H15" i="13"/>
  <c r="J16" i="13"/>
  <c r="F16" i="13"/>
  <c r="G15" i="13"/>
  <c r="J15" i="13"/>
  <c r="F15" i="13"/>
  <c r="I16" i="13"/>
  <c r="H16" i="13"/>
  <c r="I15" i="13"/>
  <c r="C4" i="15"/>
  <c r="K72" i="13"/>
  <c r="K69" i="13"/>
  <c r="K68" i="13"/>
  <c r="K67" i="13"/>
  <c r="K66" i="13"/>
  <c r="K63" i="13"/>
  <c r="K62" i="13"/>
  <c r="K54" i="13"/>
  <c r="K51" i="13"/>
  <c r="K50" i="13"/>
  <c r="K49" i="13"/>
  <c r="K48" i="13"/>
  <c r="K45" i="13"/>
  <c r="K44" i="13"/>
  <c r="K36" i="13"/>
  <c r="K33" i="13"/>
  <c r="K32" i="13"/>
  <c r="K31" i="13"/>
  <c r="K30" i="13"/>
  <c r="K27" i="13"/>
  <c r="K26" i="13"/>
  <c r="K17" i="13"/>
  <c r="K8" i="13"/>
  <c r="K11" i="13"/>
  <c r="K12" i="13"/>
  <c r="K13" i="13"/>
  <c r="K14" i="13"/>
  <c r="K7" i="13"/>
  <c r="K35" i="13" l="1"/>
  <c r="K71" i="13"/>
  <c r="K53" i="13"/>
  <c r="K70" i="13"/>
  <c r="K52" i="13"/>
  <c r="K34" i="13"/>
  <c r="K15" i="13"/>
  <c r="K16" i="13"/>
  <c r="I25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6" i="3"/>
  <c r="I27" i="3"/>
  <c r="I28" i="3"/>
  <c r="I29" i="3"/>
  <c r="I30" i="3"/>
  <c r="I31" i="3"/>
  <c r="I32" i="3"/>
  <c r="I33" i="3"/>
  <c r="I34" i="3"/>
  <c r="I35" i="3"/>
  <c r="B2" i="3"/>
  <c r="B3" i="3"/>
  <c r="C37" i="3"/>
  <c r="H37" i="3"/>
  <c r="G37" i="3"/>
  <c r="F37" i="3"/>
  <c r="E37" i="3"/>
  <c r="D37" i="3"/>
  <c r="B2" i="2"/>
  <c r="I7" i="2"/>
  <c r="H36" i="2"/>
  <c r="G36" i="2"/>
  <c r="F36" i="2"/>
  <c r="E36" i="2"/>
  <c r="D36" i="2"/>
  <c r="C36" i="2"/>
  <c r="I28" i="2"/>
  <c r="I27" i="2"/>
  <c r="I14" i="2"/>
  <c r="I8" i="2"/>
  <c r="I5" i="2"/>
  <c r="I6" i="2"/>
  <c r="I9" i="2"/>
  <c r="I10" i="2"/>
  <c r="I11" i="2"/>
  <c r="I12" i="2"/>
  <c r="I13" i="2"/>
  <c r="I15" i="2"/>
  <c r="I16" i="2"/>
  <c r="I17" i="2"/>
  <c r="I18" i="2"/>
  <c r="I19" i="2"/>
  <c r="I20" i="2"/>
  <c r="I21" i="2"/>
  <c r="I22" i="2"/>
  <c r="I23" i="2"/>
  <c r="I24" i="2"/>
  <c r="I25" i="2"/>
  <c r="I26" i="2"/>
  <c r="I29" i="2"/>
  <c r="I30" i="2"/>
  <c r="I31" i="2"/>
  <c r="I32" i="2"/>
  <c r="I33" i="2"/>
  <c r="I34" i="2"/>
  <c r="I35" i="2"/>
  <c r="K36" i="1"/>
  <c r="F30" i="11" s="1"/>
  <c r="J36" i="1"/>
  <c r="F28" i="11" s="1"/>
  <c r="L5" i="1"/>
  <c r="L6" i="1"/>
  <c r="L7" i="1"/>
  <c r="L8" i="1"/>
  <c r="L9" i="1"/>
  <c r="L10" i="1"/>
  <c r="L11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B2" i="1"/>
  <c r="I35" i="1"/>
  <c r="I34" i="1"/>
  <c r="I33" i="1"/>
  <c r="I32" i="1"/>
  <c r="I31" i="1"/>
  <c r="M31" i="1" s="1"/>
  <c r="I30" i="1"/>
  <c r="I29" i="1"/>
  <c r="I28" i="1"/>
  <c r="I27" i="1"/>
  <c r="M27" i="1" s="1"/>
  <c r="I26" i="1"/>
  <c r="M26" i="1" s="1"/>
  <c r="I25" i="1"/>
  <c r="I24" i="1"/>
  <c r="I23" i="1"/>
  <c r="M23" i="1" s="1"/>
  <c r="I22" i="1"/>
  <c r="I21" i="1"/>
  <c r="I20" i="1"/>
  <c r="M20" i="1" s="1"/>
  <c r="I19" i="1"/>
  <c r="M19" i="1" s="1"/>
  <c r="I18" i="1"/>
  <c r="M18" i="1" s="1"/>
  <c r="I17" i="1"/>
  <c r="I16" i="1"/>
  <c r="M16" i="1" s="1"/>
  <c r="I15" i="1"/>
  <c r="M15" i="1" s="1"/>
  <c r="I14" i="1"/>
  <c r="I13" i="1"/>
  <c r="I12" i="1"/>
  <c r="M12" i="1" s="1"/>
  <c r="I11" i="1"/>
  <c r="I10" i="1"/>
  <c r="I9" i="1"/>
  <c r="I5" i="1"/>
  <c r="I8" i="1"/>
  <c r="I7" i="1"/>
  <c r="I6" i="1"/>
  <c r="H36" i="1"/>
  <c r="G36" i="1"/>
  <c r="F36" i="1"/>
  <c r="E36" i="1"/>
  <c r="D36" i="1"/>
  <c r="C36" i="1"/>
  <c r="C3" i="6"/>
  <c r="C2" i="6"/>
  <c r="J21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D37" i="6"/>
  <c r="E37" i="6"/>
  <c r="F37" i="6"/>
  <c r="G37" i="6"/>
  <c r="H37" i="6"/>
  <c r="I37" i="6"/>
  <c r="B3" i="5"/>
  <c r="B2" i="5"/>
  <c r="M37" i="5"/>
  <c r="N37" i="5"/>
  <c r="L37" i="5"/>
  <c r="I5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K37" i="5"/>
  <c r="C37" i="5"/>
  <c r="D37" i="5"/>
  <c r="E37" i="5"/>
  <c r="F37" i="5"/>
  <c r="G37" i="5"/>
  <c r="H37" i="5"/>
  <c r="C2" i="12"/>
  <c r="H12" i="12"/>
  <c r="H18" i="12"/>
  <c r="B3" i="10"/>
  <c r="D9" i="10"/>
  <c r="F41" i="11"/>
  <c r="F39" i="11"/>
  <c r="F37" i="11"/>
  <c r="F35" i="11"/>
  <c r="H5" i="11"/>
  <c r="H7" i="11"/>
  <c r="A2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M32" i="1" l="1"/>
  <c r="M24" i="1"/>
  <c r="M8" i="1"/>
  <c r="M6" i="1"/>
  <c r="M10" i="1"/>
  <c r="M35" i="1"/>
  <c r="M33" i="1"/>
  <c r="M28" i="1"/>
  <c r="M25" i="1"/>
  <c r="M17" i="1"/>
  <c r="M9" i="1"/>
  <c r="M7" i="1"/>
  <c r="M14" i="1"/>
  <c r="M22" i="1"/>
  <c r="M30" i="1"/>
  <c r="M29" i="1"/>
  <c r="M21" i="1"/>
  <c r="M13" i="1"/>
  <c r="M34" i="1"/>
  <c r="M11" i="1"/>
  <c r="M5" i="1"/>
  <c r="L28" i="11"/>
  <c r="L30" i="11"/>
  <c r="I37" i="5"/>
  <c r="G39" i="5" s="1"/>
  <c r="I37" i="3"/>
  <c r="L36" i="1"/>
  <c r="J37" i="6"/>
  <c r="F35" i="4"/>
  <c r="F37" i="4" s="1"/>
  <c r="H35" i="4"/>
  <c r="H37" i="4" s="1"/>
  <c r="I36" i="2"/>
  <c r="G35" i="4"/>
  <c r="G37" i="4" s="1"/>
  <c r="I35" i="4"/>
  <c r="I37" i="4" s="1"/>
  <c r="I36" i="1"/>
  <c r="H12" i="11" l="1"/>
  <c r="L12" i="11" s="1"/>
  <c r="H39" i="6"/>
  <c r="H20" i="11"/>
  <c r="L20" i="11"/>
  <c r="H14" i="11"/>
  <c r="L14" i="11"/>
  <c r="L18" i="11"/>
  <c r="H18" i="11"/>
  <c r="L22" i="11"/>
  <c r="H22" i="11"/>
  <c r="H39" i="3"/>
  <c r="G39" i="6"/>
  <c r="D39" i="6"/>
  <c r="I39" i="6"/>
  <c r="E39" i="6"/>
  <c r="F39" i="6"/>
  <c r="L39" i="5"/>
  <c r="C39" i="5"/>
  <c r="D39" i="5"/>
  <c r="K39" i="5"/>
  <c r="H39" i="5"/>
  <c r="E39" i="5"/>
  <c r="F39" i="5"/>
  <c r="C39" i="3"/>
  <c r="D39" i="3"/>
  <c r="F39" i="3"/>
  <c r="G39" i="3"/>
  <c r="E39" i="3"/>
  <c r="J39" i="6" l="1"/>
  <c r="I39" i="5"/>
  <c r="I39" i="3"/>
</calcChain>
</file>

<file path=xl/sharedStrings.xml><?xml version="1.0" encoding="utf-8"?>
<sst xmlns="http://schemas.openxmlformats.org/spreadsheetml/2006/main" count="279" uniqueCount="126">
  <si>
    <t>DAY</t>
  </si>
  <si>
    <t>SA</t>
  </si>
  <si>
    <t>VIC</t>
  </si>
  <si>
    <t>NSW</t>
  </si>
  <si>
    <t>QLD</t>
  </si>
  <si>
    <t>WA</t>
  </si>
  <si>
    <t>OTHERS</t>
  </si>
  <si>
    <t>TOTAL</t>
  </si>
  <si>
    <t>TOTAL VEHICLES</t>
  </si>
  <si>
    <t>PRE-MONTH</t>
  </si>
  <si>
    <t>Vehicle Count</t>
  </si>
  <si>
    <t>Midnight</t>
  </si>
  <si>
    <t>Day</t>
  </si>
  <si>
    <t>Afternoon</t>
  </si>
  <si>
    <t>No. of vehicles</t>
  </si>
  <si>
    <t>BUSES</t>
  </si>
  <si>
    <t>6am\2pm</t>
  </si>
  <si>
    <t>2pm\10pm</t>
  </si>
  <si>
    <t>10pm\6am</t>
  </si>
  <si>
    <t>VEHICLE COUNTER AT OODLAWIRRA  FOR OCTOBER, 2003</t>
  </si>
  <si>
    <t>TOTALS</t>
  </si>
  <si>
    <t>VEHICLES
WITH
FRUIT</t>
  </si>
  <si>
    <t>KILOS
OF
FRUIT</t>
  </si>
  <si>
    <t>TOTAL
FRUIT</t>
  </si>
  <si>
    <t>Sheep</t>
  </si>
  <si>
    <t>Cattle</t>
  </si>
  <si>
    <t>Pigs</t>
  </si>
  <si>
    <t>Other</t>
  </si>
  <si>
    <t>Total</t>
  </si>
  <si>
    <t>Year to date:</t>
  </si>
  <si>
    <t>No. of Commercial Vehicles:</t>
  </si>
  <si>
    <t>No. of Vehicles detected with Produce:</t>
  </si>
  <si>
    <t>Amount of produce confiscated (kgs):</t>
  </si>
  <si>
    <t>Sheep:</t>
  </si>
  <si>
    <t>Cattle:</t>
  </si>
  <si>
    <t>Pigs:</t>
  </si>
  <si>
    <t>Other:</t>
  </si>
  <si>
    <t>(This area can be used to report any unusual activities / findings / points of interest at the site)</t>
  </si>
  <si>
    <t>Breakdown of Produce/kg</t>
  </si>
  <si>
    <t>Non fruit fly host:</t>
  </si>
  <si>
    <t>Fruit fly host:</t>
  </si>
  <si>
    <t>Stock Movements (determined by species per head)</t>
  </si>
  <si>
    <t>Breakdown of Vehicles</t>
  </si>
  <si>
    <t xml:space="preserve">Comments / Issues </t>
  </si>
  <si>
    <t>Total:</t>
  </si>
  <si>
    <t>Host
Fruit</t>
  </si>
  <si>
    <t>Non Host
Fruit</t>
  </si>
  <si>
    <t>VEHICLE ORIGIN</t>
  </si>
  <si>
    <t>OTHER</t>
  </si>
  <si>
    <t>Cars</t>
  </si>
  <si>
    <t>Fruit</t>
  </si>
  <si>
    <t>All trucks</t>
  </si>
  <si>
    <t>All Buses</t>
  </si>
  <si>
    <t>Total of Vehicles</t>
  </si>
  <si>
    <t>Total of Fruit</t>
  </si>
  <si>
    <t>Vehicles with fruit</t>
  </si>
  <si>
    <t>Night Shift</t>
  </si>
  <si>
    <t>Day Shift</t>
  </si>
  <si>
    <t>Afternoon
Shift</t>
  </si>
  <si>
    <t>Day:</t>
  </si>
  <si>
    <t>Non Host Fruit:</t>
  </si>
  <si>
    <t>Host Fruit:</t>
  </si>
  <si>
    <t>TRUCKS</t>
  </si>
  <si>
    <t>OCTOBER</t>
  </si>
  <si>
    <t>SEPTEMBER</t>
  </si>
  <si>
    <t>Months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</si>
  <si>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</si>
  <si>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</si>
  <si>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</si>
  <si>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</si>
  <si>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</si>
  <si>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</si>
  <si>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</si>
  <si>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</si>
  <si>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NOVEMBER</t>
  </si>
  <si>
    <t>DECEMBER</t>
  </si>
  <si>
    <t>Short Month</t>
  </si>
  <si>
    <t>Long Month</t>
  </si>
  <si>
    <t>February</t>
  </si>
  <si>
    <t>Leap Year</t>
  </si>
  <si>
    <t>Bal:</t>
  </si>
  <si>
    <t>Total Credits:</t>
  </si>
  <si>
    <t>Prev Bal:</t>
  </si>
  <si>
    <t>Total Debits:</t>
  </si>
  <si>
    <t>Date</t>
  </si>
  <si>
    <t>Balance</t>
  </si>
  <si>
    <t>Foodland Balalnce:</t>
  </si>
  <si>
    <t>Foodland Transactions</t>
  </si>
  <si>
    <t>Fruit Fly Lavae Detections</t>
  </si>
  <si>
    <t>This Month:</t>
  </si>
  <si>
    <t>Fruit Fly Lavae Detections:</t>
  </si>
  <si>
    <t>Active Month:</t>
  </si>
  <si>
    <t>Active Year:</t>
  </si>
  <si>
    <t>Location:</t>
  </si>
  <si>
    <t>Total Cars:</t>
  </si>
  <si>
    <t>Total of ALL Vehicles:</t>
  </si>
  <si>
    <t>Total of All Vehicles:</t>
  </si>
  <si>
    <t>Total No. of Commercial Vehicles:</t>
  </si>
  <si>
    <t>Total No. of Cars:</t>
  </si>
  <si>
    <t>Purchases</t>
  </si>
  <si>
    <t>Payments</t>
  </si>
  <si>
    <t>Night</t>
  </si>
  <si>
    <t>Day Name</t>
  </si>
  <si>
    <t>Traffic Volumes</t>
  </si>
  <si>
    <t>Busiest Day:</t>
  </si>
  <si>
    <t>Busiest Shift:</t>
  </si>
  <si>
    <t>Shifts Over 200:</t>
  </si>
  <si>
    <t>Caravans</t>
  </si>
  <si>
    <t>Total No. of Caravans &amp; Campers:</t>
  </si>
  <si>
    <t>Total Caravans &amp; Campers:</t>
  </si>
  <si>
    <t>CARAVANS
&amp;
CAMPERS</t>
  </si>
  <si>
    <t>TOTAL
VEHICLES</t>
  </si>
  <si>
    <t>Sunday</t>
  </si>
  <si>
    <t>Monday</t>
  </si>
  <si>
    <t>Tuesday</t>
  </si>
  <si>
    <t>Wednesday</t>
  </si>
  <si>
    <t>Thursday</t>
  </si>
  <si>
    <t>Friday</t>
  </si>
  <si>
    <t>Saturday</t>
  </si>
  <si>
    <t>Totals by Weekday</t>
  </si>
  <si>
    <t>Totals</t>
  </si>
  <si>
    <t>Averages By Weekday (rounded down)</t>
  </si>
  <si>
    <t>Averages</t>
  </si>
  <si>
    <t>OODLA WIRRA</t>
  </si>
  <si>
    <t>November</t>
  </si>
  <si>
    <t>Totals: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</si>
</sst>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&quot;$&quot;#,##0.00"/>
    <numFmt numFmtId="165" formatCode="[$-F800]dddd\,\ mmmm\ dd\,\ yyyy"/>
    <numFmt numFmtId="166" formatCode="dddd"/>
  </numFmts>
  <fonts count="3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2"/>
      <color indexed="8"/>
      <name val="Arial"/>
      <family val="2"/>
    </font>
    <font>
      <sz val="8"/>
      <name val="Arial"/>
      <family val="2"/>
    </font>
    <font>
      <sz val="9"/>
      <name val="Arial"/>
      <family val="2"/>
    </font>
    <font>
      <sz val="9"/>
      <color indexed="10"/>
      <name val="Arial"/>
      <family val="2"/>
    </font>
    <font>
      <b/>
      <sz val="9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sz val="12"/>
      <color indexed="10"/>
      <name val="Arial"/>
      <family val="2"/>
    </font>
    <font>
      <b/>
      <sz val="11"/>
      <name val="Arial"/>
      <family val="2"/>
    </font>
    <font>
      <b/>
      <u/>
      <sz val="12"/>
      <name val="Arial"/>
      <family val="2"/>
    </font>
    <font>
      <sz val="10"/>
      <name val="Courier New"/>
      <family val="3"/>
    </font>
    <font>
      <b/>
      <u/>
      <sz val="14"/>
      <name val="Arial"/>
      <family val="2"/>
    </font>
    <font>
      <sz val="14"/>
      <name val="Arial"/>
      <family val="2"/>
    </font>
    <font>
      <sz val="11"/>
      <color rgb="FF006100"/>
      <name val="Calibri"/>
      <family val="2"/>
      <scheme val="minor"/>
    </font>
    <font>
      <sz val="11"/>
      <color indexed="10"/>
      <name val="Arial"/>
      <family val="2"/>
    </font>
    <font>
      <b/>
      <sz val="11"/>
      <color indexed="10"/>
      <name val="Arial"/>
      <family val="2"/>
    </font>
    <font>
      <sz val="10"/>
      <color rgb="FF0033CC"/>
      <name val="Arial"/>
      <family val="2"/>
    </font>
    <font>
      <sz val="10"/>
      <color rgb="FF009900"/>
      <name val="Arial"/>
      <family val="2"/>
    </font>
    <font>
      <sz val="10"/>
      <color theme="9" tint="-0.499984740745262"/>
      <name val="Arial"/>
      <family val="2"/>
    </font>
    <font>
      <sz val="10"/>
      <color theme="0"/>
      <name val="Arial"/>
      <family val="2"/>
    </font>
    <font>
      <sz val="12"/>
      <color theme="0"/>
      <name val="Arial"/>
      <family val="2"/>
    </font>
    <font>
      <sz val="10"/>
      <color rgb="FF0070C0"/>
      <name val="Arial"/>
      <family val="2"/>
    </font>
    <font>
      <b/>
      <sz val="18"/>
      <color theme="1"/>
      <name val="Calibri"/>
      <family val="2"/>
      <scheme val="minor"/>
    </font>
    <font>
      <sz val="12"/>
      <color rgb="FF000066"/>
      <name val="Arial"/>
      <family val="2"/>
    </font>
    <font>
      <sz val="10"/>
      <color theme="3" tint="-0.24994659260841701"/>
      <name val="Courier New"/>
      <family val="3"/>
    </font>
    <font>
      <sz val="12"/>
      <color theme="1"/>
      <name val="Arial"/>
      <family val="2"/>
    </font>
    <font>
      <b/>
      <sz val="16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6EFCE"/>
      </patternFill>
    </fill>
    <fill>
      <patternFill patternType="solid">
        <fgColor rgb="FF99FFCC"/>
        <bgColor indexed="64"/>
      </patternFill>
    </fill>
    <fill>
      <patternFill patternType="gray0625">
        <fgColor rgb="FFFF0000"/>
        <bgColor theme="0"/>
      </patternFill>
    </fill>
    <fill>
      <patternFill patternType="gray0625">
        <fgColor rgb="FFFF3300"/>
        <bgColor theme="0"/>
      </patternFill>
    </fill>
    <fill>
      <patternFill patternType="solid">
        <fgColor theme="0" tint="-4.9989318521683403E-2"/>
        <bgColor indexed="53"/>
      </patternFill>
    </fill>
    <fill>
      <patternFill patternType="solid">
        <fgColor theme="0" tint="-4.9989318521683403E-2"/>
        <bgColor indexed="15"/>
      </patternFill>
    </fill>
    <fill>
      <patternFill patternType="solid">
        <fgColor theme="0" tint="-4.9989318521683403E-2"/>
        <bgColor indexed="9"/>
      </patternFill>
    </fill>
    <fill>
      <patternFill patternType="solid">
        <fgColor rgb="FFFFFFFF"/>
        <bgColor indexed="15"/>
      </patternFill>
    </fill>
    <fill>
      <patternFill patternType="solid">
        <fgColor rgb="FFFFFFFF"/>
        <bgColor indexed="9"/>
      </patternFill>
    </fill>
    <fill>
      <patternFill patternType="solid">
        <fgColor rgb="FFCCFF99"/>
        <bgColor rgb="FFFF3300"/>
      </patternFill>
    </fill>
    <fill>
      <patternFill patternType="solid">
        <fgColor rgb="FFCCFF99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gray125">
        <fgColor theme="5"/>
        <bgColor theme="0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mediumGray">
        <fgColor theme="0"/>
        <bgColor theme="8" tint="0.79998168889431442"/>
      </patternFill>
    </fill>
    <fill>
      <patternFill patternType="gray125">
        <fgColor theme="0"/>
        <bgColor rgb="FFE1FFE4"/>
      </patternFill>
    </fill>
    <fill>
      <patternFill patternType="solid">
        <fgColor rgb="FFE1FFE4"/>
        <bgColor indexed="64"/>
      </patternFill>
    </fill>
    <fill>
      <patternFill patternType="solid">
        <fgColor theme="8" tint="0.79998168889431442"/>
        <bgColor theme="0"/>
      </patternFill>
    </fill>
  </fills>
  <borders count="1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56"/>
      </left>
      <right style="double">
        <color indexed="56"/>
      </right>
      <top style="double">
        <color indexed="56"/>
      </top>
      <bottom style="thin">
        <color indexed="56"/>
      </bottom>
      <diagonal/>
    </border>
    <border>
      <left style="thin">
        <color indexed="56"/>
      </left>
      <right style="double">
        <color indexed="56"/>
      </right>
      <top style="thin">
        <color indexed="56"/>
      </top>
      <bottom style="thin">
        <color indexed="56"/>
      </bottom>
      <diagonal/>
    </border>
    <border>
      <left style="thin">
        <color indexed="56"/>
      </left>
      <right style="double">
        <color indexed="56"/>
      </right>
      <top style="thin">
        <color indexed="56"/>
      </top>
      <bottom style="double">
        <color indexed="56"/>
      </bottom>
      <diagonal/>
    </border>
    <border>
      <left style="double">
        <color indexed="56"/>
      </left>
      <right style="thin">
        <color indexed="56"/>
      </right>
      <top style="double">
        <color indexed="56"/>
      </top>
      <bottom style="thin">
        <color indexed="56"/>
      </bottom>
      <diagonal/>
    </border>
    <border>
      <left style="double">
        <color indexed="56"/>
      </left>
      <right style="thin">
        <color indexed="56"/>
      </right>
      <top style="thin">
        <color indexed="56"/>
      </top>
      <bottom style="thin">
        <color indexed="56"/>
      </bottom>
      <diagonal/>
    </border>
    <border>
      <left style="double">
        <color indexed="56"/>
      </left>
      <right style="thin">
        <color indexed="56"/>
      </right>
      <top style="thin">
        <color indexed="56"/>
      </top>
      <bottom style="double">
        <color indexed="56"/>
      </bottom>
      <diagonal/>
    </border>
    <border>
      <left style="double">
        <color indexed="56"/>
      </left>
      <right style="thin">
        <color indexed="56"/>
      </right>
      <top style="double">
        <color indexed="56"/>
      </top>
      <bottom style="double">
        <color indexed="56"/>
      </bottom>
      <diagonal/>
    </border>
    <border>
      <left style="thin">
        <color indexed="56"/>
      </left>
      <right style="double">
        <color indexed="56"/>
      </right>
      <top style="double">
        <color indexed="56"/>
      </top>
      <bottom style="double">
        <color indexed="56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thick">
        <color auto="1"/>
      </bottom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 style="double">
        <color indexed="64"/>
      </right>
      <top style="double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9" fontId="4" fillId="0" borderId="0" applyFont="0" applyFill="0" applyBorder="0" applyAlignment="0" applyProtection="0"/>
    <xf numFmtId="0" fontId="23" fillId="6" borderId="0" applyNumberFormat="0" applyBorder="0" applyAlignment="0" applyProtection="0"/>
    <xf numFmtId="0" fontId="2" fillId="0" borderId="0"/>
  </cellStyleXfs>
  <cellXfs count="419">
    <xf numFmtId="0" fontId="0" fillId="0" borderId="0" xfId="0"/>
    <xf numFmtId="0" fontId="6" fillId="0" borderId="0" xfId="0" applyFont="1"/>
    <xf numFmtId="0" fontId="8" fillId="0" borderId="0" xfId="0" applyFont="1"/>
    <xf numFmtId="0" fontId="8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9" fillId="0" borderId="0" xfId="0" applyFont="1"/>
    <xf numFmtId="0" fontId="0" fillId="0" borderId="0" xfId="0" applyAlignment="1">
      <alignment horizontal="center"/>
    </xf>
    <xf numFmtId="0" fontId="9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16" fontId="3" fillId="0" borderId="0" xfId="0" applyNumberFormat="1" applyFont="1" applyAlignment="1">
      <alignment horizontal="center"/>
    </xf>
    <xf numFmtId="0" fontId="0" fillId="2" borderId="0" xfId="0" applyFill="1" applyAlignment="1">
      <alignment horizontal="center"/>
    </xf>
    <xf numFmtId="0" fontId="3" fillId="2" borderId="0" xfId="0" applyFont="1" applyFill="1" applyAlignment="1">
      <alignment horizontal="center"/>
    </xf>
    <xf numFmtId="0" fontId="3" fillId="0" borderId="0" xfId="0" applyFont="1" applyAlignment="1">
      <alignment horizontal="center" wrapText="1"/>
    </xf>
    <xf numFmtId="0" fontId="0" fillId="3" borderId="0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11" fillId="5" borderId="0" xfId="0" applyFont="1" applyFill="1" applyAlignment="1">
      <alignment horizontal="center"/>
    </xf>
    <xf numFmtId="0" fontId="8" fillId="5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0" fontId="12" fillId="0" borderId="0" xfId="0" applyFont="1"/>
    <xf numFmtId="2" fontId="13" fillId="0" borderId="0" xfId="1" applyNumberFormat="1" applyFont="1" applyAlignment="1">
      <alignment horizontal="center"/>
    </xf>
    <xf numFmtId="0" fontId="11" fillId="0" borderId="0" xfId="0" applyFont="1"/>
    <xf numFmtId="0" fontId="7" fillId="0" borderId="0" xfId="0" applyFont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2" fillId="0" borderId="2" xfId="0" applyFont="1" applyBorder="1" applyAlignment="1">
      <alignment horizontal="center"/>
    </xf>
    <xf numFmtId="0" fontId="14" fillId="0" borderId="3" xfId="0" applyFont="1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14" fillId="0" borderId="5" xfId="0" applyFont="1" applyBorder="1" applyAlignment="1">
      <alignment horizontal="center"/>
    </xf>
    <xf numFmtId="0" fontId="12" fillId="0" borderId="6" xfId="0" applyFont="1" applyBorder="1" applyAlignment="1">
      <alignment horizontal="center"/>
    </xf>
    <xf numFmtId="0" fontId="12" fillId="0" borderId="7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0" fontId="12" fillId="0" borderId="1" xfId="0" applyFont="1" applyBorder="1"/>
    <xf numFmtId="0" fontId="12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 vertical="center" wrapText="1"/>
    </xf>
    <xf numFmtId="0" fontId="12" fillId="0" borderId="9" xfId="0" applyFont="1" applyBorder="1" applyAlignment="1" applyProtection="1">
      <alignment horizontal="center"/>
      <protection locked="0"/>
    </xf>
    <xf numFmtId="0" fontId="12" fillId="0" borderId="10" xfId="0" applyFont="1" applyBorder="1" applyAlignment="1" applyProtection="1">
      <alignment horizontal="center"/>
      <protection locked="0"/>
    </xf>
    <xf numFmtId="0" fontId="0" fillId="5" borderId="0" xfId="0" applyFill="1"/>
    <xf numFmtId="0" fontId="9" fillId="0" borderId="5" xfId="0" applyFont="1" applyBorder="1" applyAlignment="1">
      <alignment horizontal="center"/>
    </xf>
    <xf numFmtId="0" fontId="16" fillId="0" borderId="0" xfId="0" applyFont="1"/>
    <xf numFmtId="0" fontId="9" fillId="0" borderId="1" xfId="0" applyFont="1" applyBorder="1" applyAlignment="1">
      <alignment horizontal="center"/>
    </xf>
    <xf numFmtId="0" fontId="16" fillId="0" borderId="2" xfId="0" applyFont="1" applyBorder="1" applyAlignment="1">
      <alignment horizontal="center"/>
    </xf>
    <xf numFmtId="0" fontId="16" fillId="0" borderId="9" xfId="0" applyFont="1" applyBorder="1" applyAlignment="1" applyProtection="1">
      <alignment horizontal="center"/>
      <protection locked="0"/>
    </xf>
    <xf numFmtId="0" fontId="9" fillId="0" borderId="3" xfId="0" applyFont="1" applyBorder="1" applyAlignment="1">
      <alignment horizontal="center"/>
    </xf>
    <xf numFmtId="0" fontId="16" fillId="0" borderId="4" xfId="0" applyFont="1" applyBorder="1" applyAlignment="1">
      <alignment horizontal="center"/>
    </xf>
    <xf numFmtId="0" fontId="16" fillId="0" borderId="10" xfId="0" applyFont="1" applyBorder="1" applyAlignment="1" applyProtection="1">
      <alignment horizontal="center"/>
      <protection locked="0"/>
    </xf>
    <xf numFmtId="0" fontId="16" fillId="0" borderId="6" xfId="0" applyFont="1" applyBorder="1" applyAlignment="1">
      <alignment horizontal="center"/>
    </xf>
    <xf numFmtId="0" fontId="16" fillId="0" borderId="7" xfId="0" applyFont="1" applyBorder="1" applyAlignment="1" applyProtection="1">
      <alignment horizontal="center"/>
      <protection locked="0"/>
    </xf>
    <xf numFmtId="0" fontId="9" fillId="0" borderId="8" xfId="0" applyFont="1" applyBorder="1" applyAlignment="1">
      <alignment horizontal="center"/>
    </xf>
    <xf numFmtId="0" fontId="16" fillId="0" borderId="1" xfId="0" applyFont="1" applyBorder="1"/>
    <xf numFmtId="0" fontId="16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16" fillId="0" borderId="0" xfId="0" applyFont="1" applyAlignment="1"/>
    <xf numFmtId="0" fontId="16" fillId="0" borderId="3" xfId="0" applyFont="1" applyBorder="1" applyAlignment="1" applyProtection="1">
      <alignment horizontal="center"/>
      <protection locked="0"/>
    </xf>
    <xf numFmtId="0" fontId="16" fillId="0" borderId="5" xfId="0" applyFont="1" applyBorder="1" applyAlignment="1" applyProtection="1">
      <alignment horizontal="center"/>
      <protection locked="0"/>
    </xf>
    <xf numFmtId="0" fontId="16" fillId="0" borderId="8" xfId="0" applyFont="1" applyBorder="1" applyAlignment="1" applyProtection="1">
      <alignment horizontal="center"/>
      <protection locked="0"/>
    </xf>
    <xf numFmtId="0" fontId="16" fillId="0" borderId="6" xfId="0" applyFont="1" applyBorder="1"/>
    <xf numFmtId="2" fontId="17" fillId="0" borderId="0" xfId="1" applyNumberFormat="1" applyFont="1" applyAlignment="1">
      <alignment horizontal="center"/>
    </xf>
    <xf numFmtId="0" fontId="9" fillId="0" borderId="1" xfId="0" applyFont="1" applyBorder="1" applyAlignment="1" applyProtection="1">
      <alignment horizontal="center" vertical="center"/>
    </xf>
    <xf numFmtId="0" fontId="16" fillId="0" borderId="0" xfId="0" applyFont="1" applyProtection="1"/>
    <xf numFmtId="0" fontId="9" fillId="0" borderId="1" xfId="0" applyFont="1" applyBorder="1" applyAlignment="1" applyProtection="1">
      <alignment horizontal="center" vertical="center" wrapText="1"/>
    </xf>
    <xf numFmtId="0" fontId="9" fillId="0" borderId="0" xfId="0" applyFont="1" applyAlignment="1" applyProtection="1">
      <alignment horizontal="center" vertical="center"/>
    </xf>
    <xf numFmtId="0" fontId="16" fillId="0" borderId="2" xfId="0" applyFont="1" applyBorder="1" applyAlignment="1" applyProtection="1">
      <alignment horizontal="center"/>
    </xf>
    <xf numFmtId="0" fontId="9" fillId="0" borderId="3" xfId="0" applyFont="1" applyBorder="1" applyAlignment="1" applyProtection="1">
      <alignment horizontal="center"/>
    </xf>
    <xf numFmtId="0" fontId="16" fillId="0" borderId="4" xfId="0" applyFont="1" applyBorder="1" applyAlignment="1" applyProtection="1">
      <alignment horizontal="center"/>
    </xf>
    <xf numFmtId="0" fontId="9" fillId="0" borderId="5" xfId="0" applyFont="1" applyBorder="1" applyAlignment="1" applyProtection="1">
      <alignment horizontal="center"/>
    </xf>
    <xf numFmtId="0" fontId="16" fillId="0" borderId="6" xfId="0" applyFont="1" applyBorder="1" applyAlignment="1" applyProtection="1">
      <alignment horizontal="center"/>
    </xf>
    <xf numFmtId="0" fontId="9" fillId="0" borderId="8" xfId="0" applyFont="1" applyBorder="1" applyAlignment="1" applyProtection="1">
      <alignment horizontal="center"/>
    </xf>
    <xf numFmtId="0" fontId="16" fillId="0" borderId="0" xfId="0" applyFont="1" applyAlignment="1" applyProtection="1">
      <alignment horizontal="center"/>
    </xf>
    <xf numFmtId="0" fontId="9" fillId="0" borderId="0" xfId="0" applyFont="1" applyProtection="1"/>
    <xf numFmtId="0" fontId="9" fillId="0" borderId="0" xfId="0" applyFont="1" applyAlignment="1" applyProtection="1">
      <alignment horizontal="center"/>
    </xf>
    <xf numFmtId="2" fontId="17" fillId="0" borderId="0" xfId="1" applyNumberFormat="1" applyFont="1" applyAlignment="1" applyProtection="1">
      <alignment horizontal="center"/>
    </xf>
    <xf numFmtId="0" fontId="16" fillId="0" borderId="9" xfId="0" applyFont="1" applyBorder="1" applyAlignment="1" applyProtection="1">
      <alignment horizontal="center"/>
      <protection hidden="1"/>
    </xf>
    <xf numFmtId="0" fontId="16" fillId="0" borderId="7" xfId="0" applyFont="1" applyBorder="1" applyAlignment="1" applyProtection="1">
      <alignment horizontal="center"/>
      <protection hidden="1"/>
    </xf>
    <xf numFmtId="0" fontId="16" fillId="0" borderId="3" xfId="0" applyFont="1" applyBorder="1" applyAlignment="1" applyProtection="1">
      <alignment horizontal="center"/>
      <protection hidden="1"/>
    </xf>
    <xf numFmtId="0" fontId="16" fillId="0" borderId="8" xfId="0" applyFont="1" applyBorder="1" applyAlignment="1" applyProtection="1">
      <alignment horizontal="center"/>
      <protection hidden="1"/>
    </xf>
    <xf numFmtId="1" fontId="0" fillId="0" borderId="13" xfId="0" applyNumberFormat="1" applyBorder="1" applyProtection="1">
      <protection locked="0"/>
    </xf>
    <xf numFmtId="1" fontId="0" fillId="0" borderId="14" xfId="0" applyNumberFormat="1" applyBorder="1" applyProtection="1">
      <protection locked="0"/>
    </xf>
    <xf numFmtId="1" fontId="0" fillId="0" borderId="15" xfId="0" applyNumberFormat="1" applyBorder="1" applyProtection="1">
      <protection locked="0"/>
    </xf>
    <xf numFmtId="0" fontId="9" fillId="0" borderId="0" xfId="0" applyFont="1" applyProtection="1">
      <protection hidden="1"/>
    </xf>
    <xf numFmtId="0" fontId="7" fillId="0" borderId="16" xfId="0" applyFont="1" applyBorder="1"/>
    <xf numFmtId="0" fontId="7" fillId="0" borderId="17" xfId="0" applyFont="1" applyBorder="1"/>
    <xf numFmtId="0" fontId="7" fillId="0" borderId="18" xfId="0" applyFont="1" applyBorder="1"/>
    <xf numFmtId="0" fontId="9" fillId="0" borderId="19" xfId="0" applyFont="1" applyBorder="1"/>
    <xf numFmtId="1" fontId="7" fillId="0" borderId="20" xfId="0" applyNumberFormat="1" applyFont="1" applyBorder="1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21" xfId="0" applyBorder="1"/>
    <xf numFmtId="0" fontId="9" fillId="0" borderId="21" xfId="0" applyFont="1" applyBorder="1" applyAlignment="1">
      <alignment horizontal="center"/>
    </xf>
    <xf numFmtId="0" fontId="0" fillId="0" borderId="0" xfId="0" applyAlignment="1">
      <alignment horizontal="centerContinuous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9" fillId="0" borderId="0" xfId="0" applyFont="1" applyAlignment="1">
      <alignment horizontal="left"/>
    </xf>
    <xf numFmtId="0" fontId="7" fillId="0" borderId="1" xfId="0" applyFont="1" applyBorder="1"/>
    <xf numFmtId="0" fontId="0" fillId="0" borderId="29" xfId="0" applyBorder="1"/>
    <xf numFmtId="0" fontId="16" fillId="0" borderId="29" xfId="0" applyFont="1" applyBorder="1" applyAlignment="1">
      <alignment horizontal="right"/>
    </xf>
    <xf numFmtId="0" fontId="16" fillId="0" borderId="29" xfId="0" applyFont="1" applyBorder="1"/>
    <xf numFmtId="0" fontId="0" fillId="0" borderId="0" xfId="0" applyBorder="1"/>
    <xf numFmtId="0" fontId="0" fillId="0" borderId="0" xfId="0" applyFill="1"/>
    <xf numFmtId="0" fontId="7" fillId="0" borderId="0" xfId="0" applyFont="1" applyBorder="1"/>
    <xf numFmtId="0" fontId="9" fillId="0" borderId="0" xfId="0" applyFont="1" applyBorder="1" applyAlignment="1">
      <alignment horizontal="right"/>
    </xf>
    <xf numFmtId="0" fontId="19" fillId="0" borderId="0" xfId="0" applyFont="1"/>
    <xf numFmtId="0" fontId="0" fillId="3" borderId="0" xfId="0" applyFill="1"/>
    <xf numFmtId="0" fontId="16" fillId="3" borderId="0" xfId="0" applyFont="1" applyFill="1"/>
    <xf numFmtId="0" fontId="0" fillId="3" borderId="30" xfId="0" applyFill="1" applyBorder="1"/>
    <xf numFmtId="0" fontId="0" fillId="3" borderId="31" xfId="0" applyFill="1" applyBorder="1"/>
    <xf numFmtId="0" fontId="16" fillId="3" borderId="32" xfId="0" applyFont="1" applyFill="1" applyBorder="1" applyAlignment="1">
      <alignment horizontal="right"/>
    </xf>
    <xf numFmtId="0" fontId="16" fillId="3" borderId="0" xfId="0" applyFont="1" applyFill="1" applyAlignment="1">
      <alignment horizontal="right"/>
    </xf>
    <xf numFmtId="0" fontId="7" fillId="3" borderId="0" xfId="0" applyFont="1" applyFill="1" applyBorder="1"/>
    <xf numFmtId="0" fontId="21" fillId="3" borderId="0" xfId="0" applyFont="1" applyFill="1" applyAlignment="1">
      <alignment horizontal="left"/>
    </xf>
    <xf numFmtId="0" fontId="22" fillId="3" borderId="0" xfId="0" applyFont="1" applyFill="1" applyAlignment="1">
      <alignment horizontal="left"/>
    </xf>
    <xf numFmtId="0" fontId="7" fillId="3" borderId="1" xfId="0" applyFont="1" applyFill="1" applyBorder="1" applyProtection="1">
      <protection hidden="1"/>
    </xf>
    <xf numFmtId="0" fontId="9" fillId="0" borderId="33" xfId="0" applyFont="1" applyBorder="1" applyAlignment="1">
      <alignment horizontal="center"/>
    </xf>
    <xf numFmtId="0" fontId="9" fillId="0" borderId="34" xfId="0" applyFont="1" applyBorder="1" applyAlignment="1">
      <alignment horizontal="center"/>
    </xf>
    <xf numFmtId="0" fontId="9" fillId="0" borderId="1" xfId="0" applyFont="1" applyBorder="1"/>
    <xf numFmtId="0" fontId="16" fillId="0" borderId="5" xfId="0" applyFont="1" applyBorder="1" applyAlignment="1" applyProtection="1">
      <alignment horizontal="center"/>
      <protection hidden="1"/>
    </xf>
    <xf numFmtId="0" fontId="16" fillId="0" borderId="0" xfId="0" applyFont="1" applyBorder="1"/>
    <xf numFmtId="0" fontId="9" fillId="0" borderId="0" xfId="0" applyFont="1" applyBorder="1" applyAlignment="1">
      <alignment horizontal="center"/>
    </xf>
    <xf numFmtId="0" fontId="9" fillId="0" borderId="0" xfId="0" applyFont="1" applyBorder="1"/>
    <xf numFmtId="0" fontId="16" fillId="0" borderId="35" xfId="0" applyFont="1" applyBorder="1" applyAlignment="1">
      <alignment horizontal="center"/>
    </xf>
    <xf numFmtId="0" fontId="16" fillId="0" borderId="36" xfId="0" applyFont="1" applyBorder="1" applyAlignment="1" applyProtection="1">
      <alignment horizontal="center"/>
      <protection locked="0"/>
    </xf>
    <xf numFmtId="0" fontId="9" fillId="0" borderId="37" xfId="0" applyFont="1" applyBorder="1" applyAlignment="1">
      <alignment horizontal="center"/>
    </xf>
    <xf numFmtId="0" fontId="16" fillId="0" borderId="38" xfId="0" applyFont="1" applyBorder="1" applyAlignment="1" applyProtection="1">
      <alignment horizontal="center"/>
      <protection hidden="1"/>
    </xf>
    <xf numFmtId="0" fontId="9" fillId="0" borderId="1" xfId="0" applyFont="1" applyFill="1" applyBorder="1" applyAlignment="1">
      <alignment horizontal="center" vertical="center" shrinkToFit="1"/>
    </xf>
    <xf numFmtId="0" fontId="9" fillId="0" borderId="1" xfId="0" applyFont="1" applyBorder="1" applyAlignment="1">
      <alignment horizontal="center" vertical="center" shrinkToFit="1"/>
    </xf>
    <xf numFmtId="0" fontId="18" fillId="0" borderId="1" xfId="0" applyFont="1" applyBorder="1" applyAlignment="1">
      <alignment horizontal="center" vertical="center" wrapText="1" shrinkToFit="1"/>
    </xf>
    <xf numFmtId="0" fontId="9" fillId="0" borderId="1" xfId="0" applyFont="1" applyBorder="1" applyAlignment="1">
      <alignment horizontal="center" vertical="center" wrapText="1" shrinkToFit="1"/>
    </xf>
    <xf numFmtId="0" fontId="9" fillId="0" borderId="1" xfId="0" applyFont="1" applyBorder="1" applyAlignment="1">
      <alignment horizontal="center" vertical="center" wrapText="1"/>
    </xf>
    <xf numFmtId="0" fontId="0" fillId="7" borderId="0" xfId="0" applyFill="1"/>
    <xf numFmtId="0" fontId="14" fillId="8" borderId="39" xfId="0" applyFont="1" applyFill="1" applyBorder="1" applyAlignment="1">
      <alignment horizontal="center" vertical="top" wrapText="1"/>
    </xf>
    <xf numFmtId="0" fontId="14" fillId="8" borderId="40" xfId="0" applyFont="1" applyFill="1" applyBorder="1" applyAlignment="1">
      <alignment horizontal="centerContinuous" vertical="top"/>
    </xf>
    <xf numFmtId="0" fontId="14" fillId="8" borderId="41" xfId="0" applyFont="1" applyFill="1" applyBorder="1" applyAlignment="1">
      <alignment horizontal="center" vertical="top"/>
    </xf>
    <xf numFmtId="0" fontId="14" fillId="9" borderId="42" xfId="0" applyFont="1" applyFill="1" applyBorder="1" applyAlignment="1">
      <alignment horizontal="left" vertical="top" wrapText="1"/>
    </xf>
    <xf numFmtId="0" fontId="14" fillId="9" borderId="44" xfId="0" applyFont="1" applyFill="1" applyBorder="1" applyAlignment="1">
      <alignment horizontal="left" vertical="top" wrapText="1"/>
    </xf>
    <xf numFmtId="0" fontId="14" fillId="9" borderId="28" xfId="0" applyFont="1" applyFill="1" applyBorder="1" applyAlignment="1">
      <alignment horizontal="left" vertical="top" wrapText="1"/>
    </xf>
    <xf numFmtId="0" fontId="24" fillId="10" borderId="36" xfId="0" applyFont="1" applyFill="1" applyBorder="1" applyAlignment="1" applyProtection="1">
      <alignment horizontal="center" vertical="center"/>
    </xf>
    <xf numFmtId="0" fontId="24" fillId="10" borderId="43" xfId="0" applyFont="1" applyFill="1" applyBorder="1" applyAlignment="1" applyProtection="1">
      <alignment horizontal="center" vertical="center"/>
      <protection hidden="1"/>
    </xf>
    <xf numFmtId="0" fontId="25" fillId="10" borderId="43" xfId="0" applyFont="1" applyFill="1" applyBorder="1" applyAlignment="1" applyProtection="1">
      <alignment horizontal="center" vertical="center"/>
      <protection hidden="1"/>
    </xf>
    <xf numFmtId="0" fontId="23" fillId="0" borderId="0" xfId="2" applyFill="1"/>
    <xf numFmtId="0" fontId="24" fillId="10" borderId="52" xfId="0" applyFont="1" applyFill="1" applyBorder="1" applyAlignment="1" applyProtection="1">
      <alignment horizontal="center" vertical="center"/>
      <protection hidden="1"/>
    </xf>
    <xf numFmtId="0" fontId="24" fillId="10" borderId="53" xfId="0" applyFont="1" applyFill="1" applyBorder="1" applyAlignment="1" applyProtection="1">
      <alignment horizontal="center" vertical="center"/>
    </xf>
    <xf numFmtId="0" fontId="8" fillId="12" borderId="51" xfId="0" applyFont="1" applyFill="1" applyBorder="1" applyAlignment="1">
      <alignment horizontal="center" vertical="center" wrapText="1"/>
    </xf>
    <xf numFmtId="0" fontId="8" fillId="11" borderId="2" xfId="0" applyFont="1" applyFill="1" applyBorder="1" applyAlignment="1" applyProtection="1">
      <alignment horizontal="center" vertical="center"/>
    </xf>
    <xf numFmtId="0" fontId="8" fillId="11" borderId="49" xfId="0" applyFont="1" applyFill="1" applyBorder="1" applyAlignment="1" applyProtection="1">
      <alignment horizontal="center" vertical="center"/>
    </xf>
    <xf numFmtId="0" fontId="8" fillId="11" borderId="50" xfId="0" applyFont="1" applyFill="1" applyBorder="1" applyAlignment="1" applyProtection="1">
      <alignment horizontal="center" vertical="center"/>
    </xf>
    <xf numFmtId="0" fontId="8" fillId="11" borderId="1" xfId="0" applyFont="1" applyFill="1" applyBorder="1" applyAlignment="1" applyProtection="1">
      <alignment horizontal="center" vertical="center"/>
    </xf>
    <xf numFmtId="0" fontId="26" fillId="14" borderId="54" xfId="0" applyFont="1" applyFill="1" applyBorder="1" applyAlignment="1" applyProtection="1">
      <alignment horizontal="center" vertical="center" wrapText="1"/>
      <protection locked="0"/>
    </xf>
    <xf numFmtId="0" fontId="26" fillId="14" borderId="55" xfId="0" applyFont="1" applyFill="1" applyBorder="1" applyAlignment="1" applyProtection="1">
      <alignment horizontal="center" vertical="center" wrapText="1"/>
      <protection locked="0"/>
    </xf>
    <xf numFmtId="0" fontId="26" fillId="14" borderId="56" xfId="0" applyFont="1" applyFill="1" applyBorder="1" applyAlignment="1" applyProtection="1">
      <alignment horizontal="center" vertical="center" wrapText="1"/>
      <protection locked="0"/>
    </xf>
    <xf numFmtId="0" fontId="27" fillId="14" borderId="54" xfId="0" applyFont="1" applyFill="1" applyBorder="1" applyAlignment="1" applyProtection="1">
      <alignment horizontal="center" vertical="center" wrapText="1"/>
      <protection locked="0"/>
    </xf>
    <xf numFmtId="0" fontId="27" fillId="14" borderId="55" xfId="0" applyFont="1" applyFill="1" applyBorder="1" applyAlignment="1" applyProtection="1">
      <alignment horizontal="center" vertical="center" wrapText="1"/>
      <protection locked="0"/>
    </xf>
    <xf numFmtId="0" fontId="27" fillId="14" borderId="56" xfId="0" applyFont="1" applyFill="1" applyBorder="1" applyAlignment="1" applyProtection="1">
      <alignment horizontal="center" vertical="center" wrapText="1"/>
      <protection locked="0"/>
    </xf>
    <xf numFmtId="0" fontId="26" fillId="13" borderId="2" xfId="0" applyFont="1" applyFill="1" applyBorder="1" applyAlignment="1" applyProtection="1">
      <alignment horizontal="center"/>
      <protection locked="0"/>
    </xf>
    <xf numFmtId="0" fontId="26" fillId="13" borderId="9" xfId="0" applyFont="1" applyFill="1" applyBorder="1" applyAlignment="1" applyProtection="1">
      <alignment horizontal="center"/>
      <protection locked="0"/>
    </xf>
    <xf numFmtId="0" fontId="26" fillId="13" borderId="3" xfId="0" applyFont="1" applyFill="1" applyBorder="1" applyAlignment="1" applyProtection="1">
      <alignment horizontal="center"/>
      <protection locked="0"/>
    </xf>
    <xf numFmtId="0" fontId="26" fillId="13" borderId="4" xfId="0" applyFont="1" applyFill="1" applyBorder="1" applyAlignment="1" applyProtection="1">
      <alignment horizontal="center"/>
      <protection locked="0"/>
    </xf>
    <xf numFmtId="0" fontId="26" fillId="13" borderId="10" xfId="0" applyFont="1" applyFill="1" applyBorder="1" applyAlignment="1" applyProtection="1">
      <alignment horizontal="center"/>
      <protection locked="0"/>
    </xf>
    <xf numFmtId="0" fontId="26" fillId="13" borderId="5" xfId="0" applyFont="1" applyFill="1" applyBorder="1" applyAlignment="1" applyProtection="1">
      <alignment horizontal="center"/>
      <protection locked="0"/>
    </xf>
    <xf numFmtId="0" fontId="26" fillId="13" borderId="6" xfId="0" applyFont="1" applyFill="1" applyBorder="1" applyAlignment="1" applyProtection="1">
      <alignment horizontal="center"/>
      <protection locked="0"/>
    </xf>
    <xf numFmtId="0" fontId="26" fillId="13" borderId="7" xfId="0" applyFont="1" applyFill="1" applyBorder="1" applyAlignment="1" applyProtection="1">
      <alignment horizontal="center"/>
      <protection locked="0"/>
    </xf>
    <xf numFmtId="0" fontId="26" fillId="13" borderId="8" xfId="0" applyFont="1" applyFill="1" applyBorder="1" applyAlignment="1" applyProtection="1">
      <alignment horizontal="center"/>
      <protection locked="0"/>
    </xf>
    <xf numFmtId="0" fontId="27" fillId="13" borderId="2" xfId="0" applyFont="1" applyFill="1" applyBorder="1" applyAlignment="1" applyProtection="1">
      <alignment horizontal="center"/>
      <protection locked="0"/>
    </xf>
    <xf numFmtId="0" fontId="27" fillId="13" borderId="9" xfId="0" applyFont="1" applyFill="1" applyBorder="1" applyAlignment="1" applyProtection="1">
      <alignment horizontal="center"/>
      <protection locked="0"/>
    </xf>
    <xf numFmtId="0" fontId="27" fillId="13" borderId="3" xfId="0" applyFont="1" applyFill="1" applyBorder="1" applyAlignment="1" applyProtection="1">
      <alignment horizontal="center"/>
      <protection locked="0"/>
    </xf>
    <xf numFmtId="0" fontId="27" fillId="13" borderId="4" xfId="0" applyFont="1" applyFill="1" applyBorder="1" applyAlignment="1" applyProtection="1">
      <alignment horizontal="center"/>
      <protection locked="0"/>
    </xf>
    <xf numFmtId="0" fontId="27" fillId="13" borderId="10" xfId="0" applyFont="1" applyFill="1" applyBorder="1" applyAlignment="1" applyProtection="1">
      <alignment horizontal="center"/>
      <protection locked="0"/>
    </xf>
    <xf numFmtId="0" fontId="27" fillId="13" borderId="5" xfId="0" applyFont="1" applyFill="1" applyBorder="1" applyAlignment="1" applyProtection="1">
      <alignment horizontal="center"/>
      <protection locked="0"/>
    </xf>
    <xf numFmtId="0" fontId="27" fillId="13" borderId="6" xfId="0" applyFont="1" applyFill="1" applyBorder="1" applyAlignment="1" applyProtection="1">
      <alignment horizontal="center"/>
      <protection locked="0"/>
    </xf>
    <xf numFmtId="0" fontId="27" fillId="13" borderId="7" xfId="0" applyFont="1" applyFill="1" applyBorder="1" applyAlignment="1" applyProtection="1">
      <alignment horizontal="center"/>
      <protection locked="0"/>
    </xf>
    <xf numFmtId="0" fontId="27" fillId="13" borderId="8" xfId="0" applyFont="1" applyFill="1" applyBorder="1" applyAlignment="1" applyProtection="1">
      <alignment horizontal="center"/>
      <protection locked="0"/>
    </xf>
    <xf numFmtId="0" fontId="14" fillId="0" borderId="0" xfId="0" applyFont="1" applyFill="1" applyBorder="1" applyAlignment="1">
      <alignment horizontal="left" vertical="top" wrapText="1"/>
    </xf>
    <xf numFmtId="0" fontId="24" fillId="0" borderId="0" xfId="0" applyFont="1" applyFill="1" applyBorder="1" applyAlignment="1" applyProtection="1">
      <alignment horizontal="center" vertical="center"/>
      <protection hidden="1"/>
    </xf>
    <xf numFmtId="0" fontId="24" fillId="10" borderId="58" xfId="0" applyFont="1" applyFill="1" applyBorder="1" applyAlignment="1" applyProtection="1">
      <alignment horizontal="center" vertical="center"/>
      <protection hidden="1"/>
    </xf>
    <xf numFmtId="0" fontId="4" fillId="0" borderId="0" xfId="0" applyFont="1" applyFill="1" applyBorder="1" applyAlignment="1">
      <alignment horizontal="right"/>
    </xf>
    <xf numFmtId="0" fontId="0" fillId="0" borderId="0" xfId="0" applyFill="1" applyBorder="1"/>
    <xf numFmtId="0" fontId="0" fillId="0" borderId="26" xfId="0" applyBorder="1"/>
    <xf numFmtId="0" fontId="14" fillId="0" borderId="26" xfId="0" applyFont="1" applyFill="1" applyBorder="1" applyAlignment="1" applyProtection="1">
      <alignment horizontal="left" vertical="top" wrapText="1"/>
    </xf>
    <xf numFmtId="0" fontId="26" fillId="14" borderId="26" xfId="0" applyFont="1" applyFill="1" applyBorder="1" applyAlignment="1" applyProtection="1">
      <alignment horizontal="center" vertical="center" wrapText="1"/>
    </xf>
    <xf numFmtId="0" fontId="24" fillId="0" borderId="26" xfId="0" applyFont="1" applyFill="1" applyBorder="1" applyAlignment="1" applyProtection="1">
      <alignment horizontal="center" vertical="center"/>
    </xf>
    <xf numFmtId="0" fontId="0" fillId="0" borderId="26" xfId="0" applyBorder="1" applyProtection="1"/>
    <xf numFmtId="0" fontId="0" fillId="0" borderId="0" xfId="0" applyProtection="1"/>
    <xf numFmtId="0" fontId="14" fillId="0" borderId="0" xfId="0" applyFont="1" applyFill="1" applyBorder="1" applyAlignment="1" applyProtection="1">
      <alignment horizontal="left" vertical="top" wrapText="1"/>
    </xf>
    <xf numFmtId="0" fontId="26" fillId="14" borderId="0" xfId="0" applyFont="1" applyFill="1" applyBorder="1" applyAlignment="1" applyProtection="1">
      <alignment horizontal="center" vertical="center" wrapText="1"/>
    </xf>
    <xf numFmtId="0" fontId="24" fillId="0" borderId="0" xfId="0" applyFont="1" applyFill="1" applyBorder="1" applyAlignment="1" applyProtection="1">
      <alignment horizontal="center" vertical="center"/>
    </xf>
    <xf numFmtId="0" fontId="27" fillId="0" borderId="57" xfId="0" applyFont="1" applyFill="1" applyBorder="1" applyAlignment="1" applyProtection="1">
      <alignment horizontal="center" vertical="center"/>
      <protection locked="0"/>
    </xf>
    <xf numFmtId="0" fontId="28" fillId="14" borderId="54" xfId="0" applyFont="1" applyFill="1" applyBorder="1" applyAlignment="1" applyProtection="1">
      <alignment horizontal="center" vertical="center" wrapText="1"/>
      <protection locked="0"/>
    </xf>
    <xf numFmtId="0" fontId="28" fillId="14" borderId="55" xfId="0" applyFont="1" applyFill="1" applyBorder="1" applyAlignment="1" applyProtection="1">
      <alignment horizontal="center" vertical="center" wrapText="1"/>
      <protection locked="0"/>
    </xf>
    <xf numFmtId="0" fontId="28" fillId="14" borderId="56" xfId="0" applyFont="1" applyFill="1" applyBorder="1" applyAlignment="1" applyProtection="1">
      <alignment horizontal="center" vertical="center" wrapText="1"/>
      <protection locked="0"/>
    </xf>
    <xf numFmtId="0" fontId="28" fillId="0" borderId="57" xfId="0" applyFont="1" applyFill="1" applyBorder="1" applyAlignment="1" applyProtection="1">
      <alignment horizontal="center" vertical="center"/>
      <protection locked="0"/>
    </xf>
    <xf numFmtId="0" fontId="28" fillId="13" borderId="2" xfId="0" applyFont="1" applyFill="1" applyBorder="1" applyAlignment="1" applyProtection="1">
      <alignment horizontal="center"/>
      <protection locked="0"/>
    </xf>
    <xf numFmtId="0" fontId="28" fillId="13" borderId="9" xfId="0" applyFont="1" applyFill="1" applyBorder="1" applyAlignment="1" applyProtection="1">
      <alignment horizontal="center"/>
      <protection locked="0"/>
    </xf>
    <xf numFmtId="0" fontId="28" fillId="13" borderId="3" xfId="0" applyFont="1" applyFill="1" applyBorder="1" applyAlignment="1" applyProtection="1">
      <alignment horizontal="center"/>
      <protection locked="0"/>
    </xf>
    <xf numFmtId="0" fontId="28" fillId="13" borderId="4" xfId="0" applyFont="1" applyFill="1" applyBorder="1" applyAlignment="1" applyProtection="1">
      <alignment horizontal="center"/>
      <protection locked="0"/>
    </xf>
    <xf numFmtId="0" fontId="28" fillId="13" borderId="10" xfId="0" applyFont="1" applyFill="1" applyBorder="1" applyAlignment="1" applyProtection="1">
      <alignment horizontal="center"/>
      <protection locked="0"/>
    </xf>
    <xf numFmtId="0" fontId="28" fillId="13" borderId="5" xfId="0" applyFont="1" applyFill="1" applyBorder="1" applyAlignment="1" applyProtection="1">
      <alignment horizontal="center"/>
      <protection locked="0"/>
    </xf>
    <xf numFmtId="0" fontId="28" fillId="13" borderId="6" xfId="0" applyFont="1" applyFill="1" applyBorder="1" applyAlignment="1" applyProtection="1">
      <alignment horizontal="center"/>
      <protection locked="0"/>
    </xf>
    <xf numFmtId="0" fontId="28" fillId="13" borderId="7" xfId="0" applyFont="1" applyFill="1" applyBorder="1" applyAlignment="1" applyProtection="1">
      <alignment horizontal="center"/>
      <protection locked="0"/>
    </xf>
    <xf numFmtId="0" fontId="28" fillId="13" borderId="8" xfId="0" applyFont="1" applyFill="1" applyBorder="1" applyAlignment="1" applyProtection="1">
      <alignment horizontal="center"/>
      <protection locked="0"/>
    </xf>
    <xf numFmtId="0" fontId="26" fillId="0" borderId="57" xfId="0" applyFont="1" applyFill="1" applyBorder="1" applyAlignment="1" applyProtection="1">
      <alignment horizontal="center" vertical="center"/>
      <protection locked="0"/>
    </xf>
    <xf numFmtId="0" fontId="3" fillId="0" borderId="1" xfId="0" applyFont="1" applyBorder="1" applyAlignment="1">
      <alignment horizontal="center" vertical="center" wrapText="1"/>
    </xf>
    <xf numFmtId="0" fontId="29" fillId="18" borderId="0" xfId="0" applyFont="1" applyFill="1"/>
    <xf numFmtId="0" fontId="30" fillId="0" borderId="0" xfId="0" applyFont="1"/>
    <xf numFmtId="0" fontId="0" fillId="20" borderId="0" xfId="0" applyFill="1"/>
    <xf numFmtId="0" fontId="0" fillId="19" borderId="62" xfId="0" applyFill="1" applyBorder="1"/>
    <xf numFmtId="0" fontId="0" fillId="19" borderId="44" xfId="0" applyFill="1" applyBorder="1"/>
    <xf numFmtId="0" fontId="0" fillId="19" borderId="65" xfId="0" applyFill="1" applyBorder="1"/>
    <xf numFmtId="0" fontId="4" fillId="21" borderId="63" xfId="0" applyFont="1" applyFill="1" applyBorder="1"/>
    <xf numFmtId="0" fontId="4" fillId="21" borderId="64" xfId="0" applyFont="1" applyFill="1" applyBorder="1"/>
    <xf numFmtId="0" fontId="4" fillId="21" borderId="66" xfId="0" applyFont="1" applyFill="1" applyBorder="1"/>
    <xf numFmtId="0" fontId="0" fillId="21" borderId="67" xfId="0" applyFill="1" applyBorder="1"/>
    <xf numFmtId="0" fontId="0" fillId="21" borderId="68" xfId="0" applyFill="1" applyBorder="1"/>
    <xf numFmtId="0" fontId="0" fillId="21" borderId="69" xfId="0" applyFill="1" applyBorder="1"/>
    <xf numFmtId="0" fontId="0" fillId="19" borderId="57" xfId="0" applyFill="1" applyBorder="1" applyAlignment="1">
      <alignment horizontal="center"/>
    </xf>
    <xf numFmtId="0" fontId="27" fillId="0" borderId="0" xfId="0" applyFont="1"/>
    <xf numFmtId="0" fontId="28" fillId="0" borderId="0" xfId="0" applyFont="1"/>
    <xf numFmtId="0" fontId="31" fillId="0" borderId="0" xfId="0" applyFont="1"/>
    <xf numFmtId="0" fontId="0" fillId="17" borderId="0" xfId="0" applyFill="1"/>
    <xf numFmtId="0" fontId="0" fillId="17" borderId="0" xfId="0" applyFill="1" applyProtection="1">
      <protection locked="0"/>
    </xf>
    <xf numFmtId="0" fontId="0" fillId="17" borderId="0" xfId="0" applyFill="1" applyBorder="1"/>
    <xf numFmtId="0" fontId="0" fillId="17" borderId="59" xfId="0" applyFill="1" applyBorder="1"/>
    <xf numFmtId="0" fontId="4" fillId="17" borderId="0" xfId="0" applyFont="1" applyFill="1" applyBorder="1" applyAlignment="1">
      <alignment horizontal="right"/>
    </xf>
    <xf numFmtId="0" fontId="0" fillId="21" borderId="47" xfId="0" applyFill="1" applyBorder="1" applyProtection="1">
      <protection locked="0"/>
    </xf>
    <xf numFmtId="0" fontId="0" fillId="21" borderId="57" xfId="0" applyFill="1" applyBorder="1" applyAlignment="1">
      <alignment horizontal="center" vertical="center"/>
    </xf>
    <xf numFmtId="0" fontId="8" fillId="23" borderId="48" xfId="0" applyFont="1" applyFill="1" applyBorder="1" applyAlignment="1">
      <alignment horizontal="right"/>
    </xf>
    <xf numFmtId="0" fontId="2" fillId="21" borderId="0" xfId="3" applyFill="1"/>
    <xf numFmtId="0" fontId="2" fillId="24" borderId="62" xfId="3" applyFill="1" applyBorder="1"/>
    <xf numFmtId="164" fontId="2" fillId="21" borderId="63" xfId="3" applyNumberFormat="1" applyFill="1" applyBorder="1"/>
    <xf numFmtId="0" fontId="2" fillId="24" borderId="70" xfId="3" applyFill="1" applyBorder="1"/>
    <xf numFmtId="164" fontId="2" fillId="21" borderId="71" xfId="3" applyNumberFormat="1" applyFill="1" applyBorder="1"/>
    <xf numFmtId="0" fontId="2" fillId="21" borderId="0" xfId="3" applyFill="1" applyBorder="1"/>
    <xf numFmtId="164" fontId="2" fillId="21" borderId="0" xfId="3" applyNumberFormat="1" applyFill="1" applyBorder="1"/>
    <xf numFmtId="0" fontId="2" fillId="21" borderId="21" xfId="3" applyFill="1" applyBorder="1"/>
    <xf numFmtId="164" fontId="2" fillId="21" borderId="21" xfId="3" applyNumberFormat="1" applyFill="1" applyBorder="1"/>
    <xf numFmtId="0" fontId="2" fillId="0" borderId="0" xfId="3"/>
    <xf numFmtId="0" fontId="2" fillId="24" borderId="72" xfId="3" applyFill="1" applyBorder="1"/>
    <xf numFmtId="0" fontId="2" fillId="24" borderId="74" xfId="3" applyFill="1" applyBorder="1"/>
    <xf numFmtId="14" fontId="2" fillId="0" borderId="62" xfId="3" applyNumberFormat="1" applyBorder="1" applyProtection="1">
      <protection locked="0"/>
    </xf>
    <xf numFmtId="164" fontId="2" fillId="18" borderId="75" xfId="3" applyNumberFormat="1" applyFill="1" applyBorder="1" applyProtection="1">
      <protection locked="0"/>
    </xf>
    <xf numFmtId="14" fontId="2" fillId="0" borderId="76" xfId="3" applyNumberFormat="1" applyBorder="1" applyProtection="1">
      <protection locked="0"/>
    </xf>
    <xf numFmtId="164" fontId="2" fillId="18" borderId="77" xfId="3" applyNumberFormat="1" applyFill="1" applyBorder="1" applyProtection="1">
      <protection locked="0"/>
    </xf>
    <xf numFmtId="164" fontId="2" fillId="21" borderId="78" xfId="3" applyNumberFormat="1" applyFill="1" applyBorder="1"/>
    <xf numFmtId="0" fontId="2" fillId="0" borderId="0" xfId="3" applyFill="1"/>
    <xf numFmtId="14" fontId="2" fillId="0" borderId="76" xfId="3" applyNumberFormat="1" applyFill="1" applyBorder="1" applyProtection="1">
      <protection locked="0"/>
    </xf>
    <xf numFmtId="14" fontId="2" fillId="0" borderId="70" xfId="3" applyNumberFormat="1" applyBorder="1" applyProtection="1">
      <protection locked="0"/>
    </xf>
    <xf numFmtId="164" fontId="2" fillId="18" borderId="79" xfId="3" applyNumberFormat="1" applyFill="1" applyBorder="1" applyProtection="1">
      <protection locked="0"/>
    </xf>
    <xf numFmtId="0" fontId="16" fillId="3" borderId="31" xfId="0" applyFont="1" applyFill="1" applyBorder="1" applyAlignment="1">
      <alignment horizontal="right"/>
    </xf>
    <xf numFmtId="164" fontId="0" fillId="3" borderId="1" xfId="0" applyNumberFormat="1" applyFill="1" applyBorder="1" applyProtection="1">
      <protection locked="0"/>
    </xf>
    <xf numFmtId="0" fontId="32" fillId="21" borderId="0" xfId="3" applyFont="1" applyFill="1"/>
    <xf numFmtId="164" fontId="2" fillId="21" borderId="80" xfId="3" applyNumberFormat="1" applyFill="1" applyBorder="1"/>
    <xf numFmtId="0" fontId="16" fillId="0" borderId="0" xfId="0" applyFont="1" applyBorder="1" applyAlignment="1">
      <alignment horizontal="right"/>
    </xf>
    <xf numFmtId="0" fontId="3" fillId="0" borderId="1" xfId="0" applyFont="1" applyBorder="1"/>
    <xf numFmtId="0" fontId="19" fillId="0" borderId="0" xfId="0" applyFont="1" applyBorder="1"/>
    <xf numFmtId="0" fontId="0" fillId="3" borderId="0" xfId="0" applyFill="1" applyBorder="1"/>
    <xf numFmtId="0" fontId="16" fillId="3" borderId="0" xfId="0" applyFont="1" applyFill="1" applyBorder="1" applyAlignment="1">
      <alignment horizontal="right"/>
    </xf>
    <xf numFmtId="0" fontId="7" fillId="3" borderId="0" xfId="0" applyFont="1" applyFill="1" applyBorder="1" applyProtection="1">
      <protection hidden="1"/>
    </xf>
    <xf numFmtId="0" fontId="20" fillId="0" borderId="0" xfId="0" applyFont="1" applyBorder="1" applyAlignment="1" applyProtection="1">
      <alignment horizontal="left" vertical="top" readingOrder="1"/>
      <protection hidden="1"/>
    </xf>
    <xf numFmtId="0" fontId="0" fillId="0" borderId="0" xfId="0" applyFill="1" applyProtection="1">
      <protection hidden="1"/>
    </xf>
    <xf numFmtId="1" fontId="7" fillId="3" borderId="1" xfId="0" applyNumberFormat="1" applyFont="1" applyFill="1" applyBorder="1" applyProtection="1">
      <protection locked="0"/>
    </xf>
    <xf numFmtId="0" fontId="0" fillId="26" borderId="67" xfId="0" applyFill="1" applyBorder="1"/>
    <xf numFmtId="0" fontId="0" fillId="25" borderId="67" xfId="0" applyFill="1" applyBorder="1" applyProtection="1">
      <protection locked="0"/>
    </xf>
    <xf numFmtId="0" fontId="0" fillId="26" borderId="68" xfId="0" applyFill="1" applyBorder="1"/>
    <xf numFmtId="0" fontId="0" fillId="25" borderId="68" xfId="0" applyFill="1" applyBorder="1" applyProtection="1">
      <protection locked="0"/>
    </xf>
    <xf numFmtId="0" fontId="4" fillId="26" borderId="69" xfId="0" applyFont="1" applyFill="1" applyBorder="1"/>
    <xf numFmtId="0" fontId="0" fillId="25" borderId="69" xfId="0" applyFill="1" applyBorder="1" applyProtection="1">
      <protection locked="0"/>
    </xf>
    <xf numFmtId="0" fontId="16" fillId="3" borderId="32" xfId="0" applyFont="1" applyFill="1" applyBorder="1" applyAlignment="1">
      <alignment horizontal="right"/>
    </xf>
    <xf numFmtId="1" fontId="7" fillId="0" borderId="1" xfId="0" applyNumberFormat="1" applyFont="1" applyBorder="1"/>
    <xf numFmtId="0" fontId="16" fillId="3" borderId="31" xfId="0" applyFont="1" applyFill="1" applyBorder="1"/>
    <xf numFmtId="1" fontId="8" fillId="3" borderId="1" xfId="0" applyNumberFormat="1" applyFont="1" applyFill="1" applyBorder="1" applyProtection="1">
      <protection locked="0"/>
    </xf>
    <xf numFmtId="0" fontId="1" fillId="24" borderId="73" xfId="3" applyFont="1" applyFill="1" applyBorder="1"/>
    <xf numFmtId="164" fontId="1" fillId="21" borderId="0" xfId="3" applyNumberFormat="1" applyFont="1" applyFill="1" applyBorder="1" applyProtection="1"/>
    <xf numFmtId="164" fontId="1" fillId="21" borderId="21" xfId="3" applyNumberFormat="1" applyFont="1" applyFill="1" applyBorder="1" applyProtection="1"/>
    <xf numFmtId="165" fontId="0" fillId="0" borderId="0" xfId="0" applyNumberFormat="1"/>
    <xf numFmtId="0" fontId="33" fillId="0" borderId="82" xfId="0" applyFont="1" applyBorder="1" applyAlignment="1" applyProtection="1">
      <alignment horizontal="center" vertical="center"/>
      <protection locked="0"/>
    </xf>
    <xf numFmtId="0" fontId="33" fillId="0" borderId="85" xfId="0" applyFont="1" applyBorder="1" applyAlignment="1" applyProtection="1">
      <alignment horizontal="center" vertical="center"/>
      <protection locked="0"/>
    </xf>
    <xf numFmtId="0" fontId="22" fillId="27" borderId="50" xfId="0" applyFont="1" applyFill="1" applyBorder="1" applyAlignment="1">
      <alignment horizontal="center" vertical="center"/>
    </xf>
    <xf numFmtId="0" fontId="22" fillId="27" borderId="87" xfId="0" applyFont="1" applyFill="1" applyBorder="1" applyAlignment="1">
      <alignment horizontal="center" vertical="center"/>
    </xf>
    <xf numFmtId="0" fontId="22" fillId="27" borderId="88" xfId="0" applyFont="1" applyFill="1" applyBorder="1" applyAlignment="1">
      <alignment horizontal="center" vertical="center"/>
    </xf>
    <xf numFmtId="0" fontId="16" fillId="28" borderId="90" xfId="0" applyFont="1" applyFill="1" applyBorder="1"/>
    <xf numFmtId="0" fontId="16" fillId="28" borderId="91" xfId="0" applyFont="1" applyFill="1" applyBorder="1"/>
    <xf numFmtId="0" fontId="16" fillId="28" borderId="92" xfId="0" applyFont="1" applyFill="1" applyBorder="1"/>
    <xf numFmtId="0" fontId="33" fillId="0" borderId="2" xfId="0" applyFont="1" applyBorder="1" applyAlignment="1" applyProtection="1">
      <alignment horizontal="center" vertical="center"/>
      <protection locked="0"/>
    </xf>
    <xf numFmtId="0" fontId="33" fillId="0" borderId="9" xfId="0" applyFont="1" applyBorder="1" applyAlignment="1" applyProtection="1">
      <alignment horizontal="center" vertical="center"/>
      <protection locked="0"/>
    </xf>
    <xf numFmtId="0" fontId="33" fillId="0" borderId="3" xfId="0" applyFont="1" applyBorder="1" applyAlignment="1" applyProtection="1">
      <alignment horizontal="center" vertical="center"/>
      <protection locked="0"/>
    </xf>
    <xf numFmtId="0" fontId="33" fillId="0" borderId="81" xfId="0" applyFont="1" applyBorder="1" applyAlignment="1" applyProtection="1">
      <alignment horizontal="center" vertical="center"/>
      <protection locked="0"/>
    </xf>
    <xf numFmtId="0" fontId="33" fillId="0" borderId="83" xfId="0" applyFont="1" applyBorder="1" applyAlignment="1" applyProtection="1">
      <alignment horizontal="center" vertical="center"/>
      <protection locked="0"/>
    </xf>
    <xf numFmtId="0" fontId="33" fillId="0" borderId="84" xfId="0" applyFont="1" applyBorder="1" applyAlignment="1" applyProtection="1">
      <alignment horizontal="center" vertical="center"/>
      <protection locked="0"/>
    </xf>
    <xf numFmtId="0" fontId="33" fillId="0" borderId="86" xfId="0" applyFont="1" applyBorder="1" applyAlignment="1" applyProtection="1">
      <alignment horizontal="center" vertical="center"/>
      <protection locked="0"/>
    </xf>
    <xf numFmtId="0" fontId="9" fillId="29" borderId="50" xfId="0" applyFont="1" applyFill="1" applyBorder="1"/>
    <xf numFmtId="0" fontId="9" fillId="29" borderId="87" xfId="0" applyFont="1" applyFill="1" applyBorder="1"/>
    <xf numFmtId="0" fontId="9" fillId="29" borderId="94" xfId="0" applyFont="1" applyFill="1" applyBorder="1"/>
    <xf numFmtId="0" fontId="9" fillId="28" borderId="1" xfId="0" applyFont="1" applyFill="1" applyBorder="1"/>
    <xf numFmtId="0" fontId="0" fillId="0" borderId="93" xfId="0" applyBorder="1"/>
    <xf numFmtId="0" fontId="16" fillId="0" borderId="93" xfId="0" applyFont="1" applyBorder="1" applyAlignment="1">
      <alignment horizontal="right"/>
    </xf>
    <xf numFmtId="0" fontId="16" fillId="0" borderId="0" xfId="0" applyFont="1" applyBorder="1" applyAlignment="1">
      <alignment horizontal="right" vertical="center"/>
    </xf>
    <xf numFmtId="0" fontId="5" fillId="17" borderId="0" xfId="0" applyFont="1" applyFill="1" applyAlignment="1" applyProtection="1">
      <alignment vertical="top"/>
      <protection locked="0"/>
    </xf>
    <xf numFmtId="0" fontId="26" fillId="13" borderId="81" xfId="0" applyFont="1" applyFill="1" applyBorder="1" applyAlignment="1" applyProtection="1">
      <alignment horizontal="center"/>
      <protection locked="0"/>
    </xf>
    <xf numFmtId="0" fontId="26" fillId="13" borderId="82" xfId="0" applyFont="1" applyFill="1" applyBorder="1" applyAlignment="1" applyProtection="1">
      <alignment horizontal="center"/>
      <protection locked="0"/>
    </xf>
    <xf numFmtId="0" fontId="26" fillId="13" borderId="83" xfId="0" applyFont="1" applyFill="1" applyBorder="1" applyAlignment="1" applyProtection="1">
      <alignment horizontal="center"/>
      <protection locked="0"/>
    </xf>
    <xf numFmtId="0" fontId="27" fillId="13" borderId="81" xfId="0" applyFont="1" applyFill="1" applyBorder="1" applyAlignment="1" applyProtection="1">
      <alignment horizontal="center"/>
      <protection locked="0"/>
    </xf>
    <xf numFmtId="0" fontId="27" fillId="13" borderId="82" xfId="0" applyFont="1" applyFill="1" applyBorder="1" applyAlignment="1" applyProtection="1">
      <alignment horizontal="center"/>
      <protection locked="0"/>
    </xf>
    <xf numFmtId="0" fontId="27" fillId="13" borderId="83" xfId="0" applyFont="1" applyFill="1" applyBorder="1" applyAlignment="1" applyProtection="1">
      <alignment horizontal="center"/>
      <protection locked="0"/>
    </xf>
    <xf numFmtId="0" fontId="28" fillId="13" borderId="81" xfId="0" applyFont="1" applyFill="1" applyBorder="1" applyAlignment="1" applyProtection="1">
      <alignment horizontal="center"/>
      <protection locked="0"/>
    </xf>
    <xf numFmtId="0" fontId="28" fillId="13" borderId="82" xfId="0" applyFont="1" applyFill="1" applyBorder="1" applyAlignment="1" applyProtection="1">
      <alignment horizontal="center"/>
      <protection locked="0"/>
    </xf>
    <xf numFmtId="0" fontId="28" fillId="13" borderId="83" xfId="0" applyFont="1" applyFill="1" applyBorder="1" applyAlignment="1" applyProtection="1">
      <alignment horizontal="center"/>
      <protection locked="0"/>
    </xf>
    <xf numFmtId="0" fontId="16" fillId="3" borderId="32" xfId="0" applyFont="1" applyFill="1" applyBorder="1" applyAlignment="1">
      <alignment horizontal="right"/>
    </xf>
    <xf numFmtId="1" fontId="7" fillId="0" borderId="0" xfId="0" applyNumberFormat="1" applyFont="1" applyBorder="1"/>
    <xf numFmtId="1" fontId="0" fillId="0" borderId="0" xfId="0" applyNumberFormat="1"/>
    <xf numFmtId="1" fontId="0" fillId="0" borderId="0" xfId="0" applyNumberFormat="1" applyAlignment="1">
      <alignment horizontal="right"/>
    </xf>
    <xf numFmtId="1" fontId="3" fillId="0" borderId="1" xfId="0" applyNumberFormat="1" applyFont="1" applyBorder="1" applyProtection="1">
      <protection locked="0"/>
    </xf>
    <xf numFmtId="1" fontId="3" fillId="0" borderId="1" xfId="0" applyNumberFormat="1" applyFont="1" applyBorder="1"/>
    <xf numFmtId="1" fontId="0" fillId="3" borderId="1" xfId="0" applyNumberFormat="1" applyFill="1" applyBorder="1" applyProtection="1">
      <protection locked="0"/>
    </xf>
    <xf numFmtId="1" fontId="7" fillId="3" borderId="1" xfId="0" applyNumberFormat="1" applyFont="1" applyFill="1" applyBorder="1" applyProtection="1">
      <protection hidden="1"/>
    </xf>
    <xf numFmtId="0" fontId="16" fillId="0" borderId="82" xfId="0" applyFont="1" applyBorder="1" applyAlignment="1" applyProtection="1">
      <alignment horizontal="center"/>
      <protection locked="0"/>
    </xf>
    <xf numFmtId="0" fontId="16" fillId="0" borderId="95" xfId="0" applyFont="1" applyBorder="1" applyAlignment="1" applyProtection="1">
      <alignment horizontal="center"/>
      <protection locked="0"/>
    </xf>
    <xf numFmtId="0" fontId="16" fillId="0" borderId="33" xfId="0" applyFont="1" applyBorder="1" applyAlignment="1" applyProtection="1">
      <alignment horizontal="center"/>
      <protection locked="0"/>
    </xf>
    <xf numFmtId="0" fontId="16" fillId="0" borderId="34" xfId="0" applyFont="1" applyBorder="1" applyAlignment="1" applyProtection="1">
      <alignment horizontal="center"/>
      <protection locked="0"/>
    </xf>
    <xf numFmtId="0" fontId="16" fillId="0" borderId="96" xfId="0" applyFont="1" applyBorder="1" applyAlignment="1" applyProtection="1">
      <alignment horizontal="center"/>
      <protection locked="0"/>
    </xf>
    <xf numFmtId="0" fontId="16" fillId="0" borderId="97" xfId="0" applyFont="1" applyBorder="1" applyAlignment="1" applyProtection="1">
      <alignment horizontal="center"/>
      <protection locked="0"/>
    </xf>
    <xf numFmtId="0" fontId="9" fillId="0" borderId="49" xfId="0" applyFont="1" applyBorder="1" applyAlignment="1" applyProtection="1">
      <alignment horizontal="center"/>
      <protection hidden="1"/>
    </xf>
    <xf numFmtId="0" fontId="9" fillId="0" borderId="98" xfId="0" applyFont="1" applyBorder="1" applyAlignment="1" applyProtection="1">
      <alignment horizontal="center"/>
      <protection hidden="1"/>
    </xf>
    <xf numFmtId="0" fontId="9" fillId="0" borderId="99" xfId="0" applyFont="1" applyBorder="1" applyAlignment="1" applyProtection="1">
      <alignment horizontal="center"/>
      <protection hidden="1"/>
    </xf>
    <xf numFmtId="0" fontId="16" fillId="0" borderId="100" xfId="0" applyFont="1" applyBorder="1" applyAlignment="1" applyProtection="1">
      <alignment horizontal="center"/>
      <protection locked="0"/>
    </xf>
    <xf numFmtId="0" fontId="35" fillId="21" borderId="103" xfId="0" applyFont="1" applyFill="1" applyBorder="1"/>
    <xf numFmtId="0" fontId="35" fillId="21" borderId="35" xfId="0" applyFont="1" applyFill="1" applyBorder="1"/>
    <xf numFmtId="0" fontId="35" fillId="21" borderId="84" xfId="0" applyFont="1" applyFill="1" applyBorder="1"/>
    <xf numFmtId="0" fontId="18" fillId="21" borderId="50" xfId="0" applyFont="1" applyFill="1" applyBorder="1"/>
    <xf numFmtId="0" fontId="35" fillId="21" borderId="50" xfId="0" applyFont="1" applyFill="1" applyBorder="1"/>
    <xf numFmtId="0" fontId="22" fillId="30" borderId="87" xfId="0" applyFont="1" applyFill="1" applyBorder="1" applyAlignment="1">
      <alignment horizontal="center" vertical="center"/>
    </xf>
    <xf numFmtId="0" fontId="22" fillId="30" borderId="88" xfId="0" applyFont="1" applyFill="1" applyBorder="1" applyAlignment="1">
      <alignment horizontal="center" vertical="center"/>
    </xf>
    <xf numFmtId="0" fontId="6" fillId="0" borderId="36" xfId="0" applyFont="1" applyBorder="1"/>
    <xf numFmtId="0" fontId="6" fillId="0" borderId="37" xfId="0" applyFont="1" applyBorder="1"/>
    <xf numFmtId="0" fontId="18" fillId="0" borderId="107" xfId="0" applyFont="1" applyBorder="1"/>
    <xf numFmtId="0" fontId="6" fillId="0" borderId="101" xfId="0" applyFont="1" applyBorder="1"/>
    <xf numFmtId="0" fontId="6" fillId="0" borderId="102" xfId="0" applyFont="1" applyBorder="1"/>
    <xf numFmtId="0" fontId="18" fillId="0" borderId="104" xfId="0" applyFont="1" applyBorder="1"/>
    <xf numFmtId="0" fontId="6" fillId="0" borderId="85" xfId="0" applyFont="1" applyBorder="1"/>
    <xf numFmtId="0" fontId="6" fillId="0" borderId="105" xfId="0" applyFont="1" applyBorder="1"/>
    <xf numFmtId="0" fontId="18" fillId="0" borderId="106" xfId="0" applyFont="1" applyBorder="1"/>
    <xf numFmtId="0" fontId="18" fillId="0" borderId="89" xfId="0" applyFont="1" applyBorder="1"/>
    <xf numFmtId="0" fontId="18" fillId="0" borderId="87" xfId="0" applyFont="1" applyBorder="1"/>
    <xf numFmtId="0" fontId="18" fillId="0" borderId="88" xfId="0" applyFont="1" applyBorder="1"/>
    <xf numFmtId="0" fontId="18" fillId="0" borderId="1" xfId="0" applyFont="1" applyBorder="1"/>
    <xf numFmtId="1" fontId="16" fillId="0" borderId="9" xfId="0" applyNumberFormat="1" applyFont="1" applyBorder="1"/>
    <xf numFmtId="1" fontId="16" fillId="0" borderId="101" xfId="0" applyNumberFormat="1" applyFont="1" applyBorder="1"/>
    <xf numFmtId="0" fontId="35" fillId="21" borderId="108" xfId="0" applyFont="1" applyFill="1" applyBorder="1"/>
    <xf numFmtId="0" fontId="35" fillId="21" borderId="109" xfId="0" applyFont="1" applyFill="1" applyBorder="1"/>
    <xf numFmtId="0" fontId="35" fillId="21" borderId="110" xfId="0" applyFont="1" applyFill="1" applyBorder="1"/>
    <xf numFmtId="1" fontId="16" fillId="0" borderId="2" xfId="0" applyNumberFormat="1" applyFont="1" applyBorder="1"/>
    <xf numFmtId="1" fontId="16" fillId="0" borderId="103" xfId="0" applyNumberFormat="1" applyFont="1" applyBorder="1"/>
    <xf numFmtId="1" fontId="16" fillId="0" borderId="6" xfId="0" applyNumberFormat="1" applyFont="1" applyBorder="1"/>
    <xf numFmtId="1" fontId="16" fillId="0" borderId="7" xfId="0" applyNumberFormat="1" applyFont="1" applyBorder="1"/>
    <xf numFmtId="0" fontId="9" fillId="0" borderId="50" xfId="0" applyFont="1" applyBorder="1"/>
    <xf numFmtId="1" fontId="9" fillId="0" borderId="3" xfId="0" applyNumberFormat="1" applyFont="1" applyBorder="1"/>
    <xf numFmtId="1" fontId="9" fillId="0" borderId="83" xfId="0" applyNumberFormat="1" applyFont="1" applyBorder="1"/>
    <xf numFmtId="1" fontId="9" fillId="0" borderId="88" xfId="0" applyNumberFormat="1" applyFont="1" applyBorder="1"/>
    <xf numFmtId="1" fontId="9" fillId="0" borderId="87" xfId="0" applyNumberFormat="1" applyFont="1" applyBorder="1"/>
    <xf numFmtId="0" fontId="9" fillId="0" borderId="22" xfId="0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0" fillId="0" borderId="11" xfId="0" applyBorder="1" applyAlignment="1"/>
    <xf numFmtId="0" fontId="0" fillId="0" borderId="23" xfId="0" applyBorder="1" applyAlignment="1"/>
    <xf numFmtId="0" fontId="9" fillId="0" borderId="12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0" fillId="0" borderId="0" xfId="0" applyBorder="1" applyAlignment="1"/>
    <xf numFmtId="0" fontId="0" fillId="0" borderId="24" xfId="0" applyBorder="1" applyAlignment="1"/>
    <xf numFmtId="0" fontId="9" fillId="0" borderId="22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23" xfId="0" applyFont="1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0" fontId="9" fillId="0" borderId="26" xfId="0" applyFont="1" applyBorder="1" applyAlignment="1">
      <alignment horizontal="center" vertical="center"/>
    </xf>
    <xf numFmtId="0" fontId="9" fillId="0" borderId="27" xfId="0" applyFont="1" applyBorder="1" applyAlignment="1">
      <alignment horizontal="center" vertical="center"/>
    </xf>
    <xf numFmtId="0" fontId="10" fillId="0" borderId="22" xfId="0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23" xfId="0" applyBorder="1" applyAlignment="1">
      <alignment horizontal="center"/>
    </xf>
    <xf numFmtId="0" fontId="15" fillId="0" borderId="25" xfId="0" applyFont="1" applyBorder="1" applyAlignment="1">
      <alignment horizontal="center" vertical="center"/>
    </xf>
    <xf numFmtId="0" fontId="15" fillId="0" borderId="26" xfId="0" applyFont="1" applyBorder="1" applyAlignment="1">
      <alignment horizontal="center" vertical="center"/>
    </xf>
    <xf numFmtId="0" fontId="15" fillId="0" borderId="27" xfId="0" applyFont="1" applyBorder="1" applyAlignment="1">
      <alignment horizontal="center" vertical="center"/>
    </xf>
    <xf numFmtId="0" fontId="16" fillId="0" borderId="23" xfId="0" applyFont="1" applyBorder="1" applyAlignment="1">
      <alignment horizontal="center"/>
    </xf>
    <xf numFmtId="0" fontId="36" fillId="0" borderId="22" xfId="0" applyFont="1" applyBorder="1" applyAlignment="1">
      <alignment horizontal="center" vertical="center"/>
    </xf>
    <xf numFmtId="0" fontId="36" fillId="0" borderId="11" xfId="0" applyFont="1" applyBorder="1" applyAlignment="1">
      <alignment horizontal="center" vertical="center"/>
    </xf>
    <xf numFmtId="0" fontId="36" fillId="0" borderId="23" xfId="0" applyFont="1" applyBorder="1" applyAlignment="1">
      <alignment horizontal="center" vertical="center"/>
    </xf>
    <xf numFmtId="0" fontId="36" fillId="0" borderId="25" xfId="0" applyFont="1" applyBorder="1" applyAlignment="1">
      <alignment horizontal="center" vertical="center"/>
    </xf>
    <xf numFmtId="0" fontId="36" fillId="0" borderId="26" xfId="0" applyFont="1" applyBorder="1" applyAlignment="1">
      <alignment horizontal="center" vertical="center"/>
    </xf>
    <xf numFmtId="0" fontId="36" fillId="0" borderId="27" xfId="0" applyFont="1" applyBorder="1" applyAlignment="1">
      <alignment horizontal="center" vertical="center"/>
    </xf>
    <xf numFmtId="0" fontId="36" fillId="0" borderId="30" xfId="0" applyFont="1" applyBorder="1" applyAlignment="1">
      <alignment horizontal="center" vertical="center"/>
    </xf>
    <xf numFmtId="0" fontId="36" fillId="0" borderId="31" xfId="0" applyFont="1" applyBorder="1" applyAlignment="1">
      <alignment horizontal="center" vertical="center"/>
    </xf>
    <xf numFmtId="0" fontId="36" fillId="0" borderId="32" xfId="0" applyFont="1" applyBorder="1" applyAlignment="1">
      <alignment horizontal="center" vertical="center"/>
    </xf>
    <xf numFmtId="0" fontId="10" fillId="0" borderId="22" xfId="0" applyFont="1" applyBorder="1" applyAlignment="1" applyProtection="1">
      <alignment horizontal="center" vertical="center"/>
    </xf>
    <xf numFmtId="0" fontId="16" fillId="0" borderId="11" xfId="0" applyFont="1" applyBorder="1" applyAlignment="1" applyProtection="1">
      <alignment horizontal="center" vertical="center"/>
    </xf>
    <xf numFmtId="0" fontId="16" fillId="0" borderId="23" xfId="0" applyFont="1" applyBorder="1" applyAlignment="1" applyProtection="1">
      <alignment horizontal="center" vertical="center"/>
    </xf>
    <xf numFmtId="0" fontId="9" fillId="0" borderId="25" xfId="0" applyFont="1" applyBorder="1" applyAlignment="1" applyProtection="1">
      <alignment horizontal="center" vertical="center"/>
    </xf>
    <xf numFmtId="0" fontId="9" fillId="0" borderId="26" xfId="0" applyFont="1" applyBorder="1" applyAlignment="1" applyProtection="1">
      <alignment horizontal="center" vertical="center"/>
    </xf>
    <xf numFmtId="0" fontId="9" fillId="0" borderId="27" xfId="0" applyFont="1" applyBorder="1" applyAlignment="1" applyProtection="1">
      <alignment horizontal="center" vertical="center"/>
    </xf>
    <xf numFmtId="0" fontId="16" fillId="3" borderId="30" xfId="0" applyFont="1" applyFill="1" applyBorder="1" applyAlignment="1">
      <alignment horizontal="right"/>
    </xf>
    <xf numFmtId="0" fontId="16" fillId="3" borderId="31" xfId="0" applyFont="1" applyFill="1" applyBorder="1" applyAlignment="1">
      <alignment horizontal="right"/>
    </xf>
    <xf numFmtId="0" fontId="16" fillId="3" borderId="32" xfId="0" applyFont="1" applyFill="1" applyBorder="1" applyAlignment="1">
      <alignment horizontal="right"/>
    </xf>
    <xf numFmtId="0" fontId="34" fillId="0" borderId="22" xfId="0" applyFont="1" applyBorder="1" applyAlignment="1" applyProtection="1">
      <alignment horizontal="left" vertical="top" wrapText="1" readingOrder="1"/>
      <protection hidden="1"/>
    </xf>
    <xf numFmtId="0" fontId="34" fillId="0" borderId="11" xfId="0" applyFont="1" applyBorder="1" applyAlignment="1">
      <alignment horizontal="left" vertical="top" wrapText="1" readingOrder="1"/>
    </xf>
    <xf numFmtId="0" fontId="34" fillId="0" borderId="23" xfId="0" applyFont="1" applyBorder="1" applyAlignment="1">
      <alignment horizontal="left" vertical="top" wrapText="1" readingOrder="1"/>
    </xf>
    <xf numFmtId="0" fontId="34" fillId="0" borderId="12" xfId="0" applyFont="1" applyBorder="1" applyAlignment="1">
      <alignment horizontal="left" vertical="top" wrapText="1" readingOrder="1"/>
    </xf>
    <xf numFmtId="0" fontId="34" fillId="0" borderId="0" xfId="0" applyFont="1" applyAlignment="1">
      <alignment horizontal="left" vertical="top" wrapText="1" readingOrder="1"/>
    </xf>
    <xf numFmtId="0" fontId="34" fillId="0" borderId="24" xfId="0" applyFont="1" applyBorder="1" applyAlignment="1">
      <alignment horizontal="left" vertical="top" wrapText="1" readingOrder="1"/>
    </xf>
    <xf numFmtId="0" fontId="34" fillId="0" borderId="25" xfId="0" applyFont="1" applyBorder="1" applyAlignment="1">
      <alignment horizontal="left" vertical="top" wrapText="1" readingOrder="1"/>
    </xf>
    <xf numFmtId="0" fontId="34" fillId="0" borderId="26" xfId="0" applyFont="1" applyBorder="1" applyAlignment="1">
      <alignment horizontal="left" vertical="top" wrapText="1" readingOrder="1"/>
    </xf>
    <xf numFmtId="0" fontId="34" fillId="0" borderId="27" xfId="0" applyFont="1" applyBorder="1" applyAlignment="1">
      <alignment horizontal="left" vertical="top" wrapText="1" readingOrder="1"/>
    </xf>
    <xf numFmtId="0" fontId="7" fillId="15" borderId="45" xfId="0" applyFont="1" applyFill="1" applyBorder="1" applyAlignment="1">
      <alignment horizontal="center" vertical="center" wrapText="1"/>
    </xf>
    <xf numFmtId="0" fontId="0" fillId="16" borderId="46" xfId="0" applyFill="1" applyBorder="1" applyAlignment="1">
      <alignment horizontal="center" vertical="center"/>
    </xf>
    <xf numFmtId="0" fontId="7" fillId="22" borderId="45" xfId="0" applyFont="1" applyFill="1" applyBorder="1" applyAlignment="1">
      <alignment horizontal="center" vertical="center" wrapText="1"/>
    </xf>
    <xf numFmtId="0" fontId="0" fillId="22" borderId="46" xfId="0" applyFill="1" applyBorder="1" applyAlignment="1">
      <alignment horizontal="center" vertical="center"/>
    </xf>
    <xf numFmtId="0" fontId="7" fillId="17" borderId="45" xfId="0" applyFont="1" applyFill="1" applyBorder="1" applyAlignment="1">
      <alignment horizontal="center" vertical="center" wrapText="1"/>
    </xf>
    <xf numFmtId="0" fontId="0" fillId="17" borderId="46" xfId="0" applyFill="1" applyBorder="1" applyAlignment="1">
      <alignment horizontal="center" vertical="center"/>
    </xf>
    <xf numFmtId="0" fontId="0" fillId="19" borderId="60" xfId="0" applyFill="1" applyBorder="1" applyAlignment="1">
      <alignment horizontal="center"/>
    </xf>
    <xf numFmtId="0" fontId="0" fillId="0" borderId="61" xfId="0" applyBorder="1" applyAlignment="1">
      <alignment horizontal="center"/>
    </xf>
    <xf numFmtId="1" fontId="16" fillId="27" borderId="35" xfId="0" applyNumberFormat="1" applyFont="1" applyFill="1" applyBorder="1"/>
    <xf numFmtId="0" fontId="15" fillId="0" borderId="30" xfId="0" applyFont="1" applyBorder="1" applyAlignment="1">
      <alignment horizontal="center" vertical="center"/>
    </xf>
    <xf numFmtId="0" fontId="15" fillId="0" borderId="31" xfId="0" applyFont="1" applyBorder="1" applyAlignment="1">
      <alignment horizontal="center" vertical="center"/>
    </xf>
    <xf numFmtId="0" fontId="15" fillId="0" borderId="32" xfId="0" applyFont="1" applyBorder="1" applyAlignment="1">
      <alignment horizontal="center" vertical="center"/>
    </xf>
    <xf numFmtId="1" fontId="16" fillId="27" borderId="111" xfId="0" applyNumberFormat="1" applyFont="1" applyFill="1" applyBorder="1"/>
    <xf numFmtId="1" fontId="16" fillId="27" borderId="30" xfId="0" applyNumberFormat="1" applyFont="1" applyFill="1" applyBorder="1" applyAlignment="1">
      <alignment horizontal="center"/>
    </xf>
    <xf numFmtId="1" fontId="16" fillId="27" borderId="32" xfId="0" applyNumberFormat="1" applyFont="1" applyFill="1" applyBorder="1" applyAlignment="1">
      <alignment horizontal="center"/>
    </xf>
    <xf numFmtId="166" fontId="16" fillId="27" borderId="35" xfId="0" applyNumberFormat="1" applyFont="1" applyFill="1" applyBorder="1" applyAlignment="1">
      <alignment horizontal="right"/>
    </xf>
  </cellXfs>
  <cellStyles count="4">
    <cellStyle name="Good" xfId="2" builtinId="26"/>
    <cellStyle name="Normal" xfId="0" builtinId="0"/>
    <cellStyle name="Normal 2" xfId="3"/>
    <cellStyle name="Percent" xfId="1" builtinId="5"/>
  </cellStyles>
  <dxfs count="4">
    <dxf>
      <font>
        <b/>
        <i val="0"/>
      </font>
    </dxf>
    <dxf>
      <font>
        <b/>
        <i val="0"/>
        <color rgb="FF990033"/>
      </font>
    </dxf>
    <dxf>
      <font>
        <b/>
        <i val="0"/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E1FFE4"/>
      <color rgb="FFE7FFEC"/>
      <color rgb="FFFF0000"/>
      <color rgb="FF990033"/>
      <color rgb="FFFF9900"/>
      <color rgb="FFFF3300"/>
      <color rgb="FF000066"/>
      <color rgb="FF66FFFF"/>
      <color rgb="FF00FF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3507182382974E-2"/>
          <c:y val="7.4433892198537133E-2"/>
          <c:w val="0.82763804475503577"/>
          <c:h val="0.7605202028980981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'Fruit Confiscated'!$I$4</c:f>
              <c:strCache>
                <c:ptCount val="1"/>
                <c:pt idx="0">
                  <c:v>TOTAL
FRUIT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'Fruit Confiscated'!$I$5:$I$35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421-45A2-91A4-3F287EE72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0056344"/>
        <c:axId val="300056736"/>
      </c:barChart>
      <c:catAx>
        <c:axId val="300056344"/>
        <c:scaling>
          <c:orientation val="minMax"/>
        </c:scaling>
        <c:delete val="0"/>
        <c:axPos val="b"/>
        <c:title>
          <c:tx>
            <c:strRef>
              <c:f>'Commercial Vehicles'!$B$3:$I$3</c:f>
              <c:strCache>
                <c:ptCount val="8"/>
                <c:pt idx="0">
                  <c:v>November 2017</c:v>
                </c:pt>
              </c:strCache>
            </c:strRef>
          </c:tx>
          <c:layout>
            <c:manualLayout>
              <c:xMode val="edge"/>
              <c:yMode val="edge"/>
              <c:x val="0.41010430942978432"/>
              <c:y val="0.90938798729516557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005673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30005673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AMOUNT OF FRUIT (KG)</a:t>
                </a:r>
              </a:p>
            </c:rich>
          </c:tx>
          <c:layout>
            <c:manualLayout>
              <c:xMode val="edge"/>
              <c:yMode val="edge"/>
              <c:x val="7.4294258954671647E-3"/>
              <c:y val="0.2491917260559707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0056344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084761478426735"/>
          <c:y val="0.40453202281813261"/>
          <c:w val="7.7266029312857906E-2"/>
          <c:h val="0.1100327102065330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en-US"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06905986417351"/>
          <c:y val="5.4545454545454515E-2"/>
          <c:w val="0.86206969126287758"/>
          <c:h val="0.7854545454545454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'Commercial Vehicles'!$I$4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'Commercial Vehicles'!$I$5:$I$35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741-4106-99E9-6E5D84A0C3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2311072"/>
        <c:axId val="302313424"/>
      </c:barChart>
      <c:catAx>
        <c:axId val="302311072"/>
        <c:scaling>
          <c:orientation val="minMax"/>
        </c:scaling>
        <c:delete val="0"/>
        <c:axPos val="b"/>
        <c:title>
          <c:tx>
            <c:strRef>
              <c:f>'Commercial Vehicles'!$B$3:$I$3</c:f>
              <c:strCache>
                <c:ptCount val="8"/>
                <c:pt idx="0">
                  <c:v>November 2017</c:v>
                </c:pt>
              </c:strCache>
            </c:strRef>
          </c:tx>
          <c:layout>
            <c:manualLayout>
              <c:xMode val="edge"/>
              <c:yMode val="edge"/>
              <c:x val="0.48275902710720897"/>
              <c:y val="0.90909090909090906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231342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30231342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NUMBER OF COMMERCIAL VEHICLES</a:t>
                </a:r>
              </a:p>
            </c:rich>
          </c:tx>
          <c:layout>
            <c:manualLayout>
              <c:xMode val="edge"/>
              <c:yMode val="edge"/>
              <c:x val="3.2758648267989195E-2"/>
              <c:y val="8.7272727272726919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2311072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8266080853505938E-2"/>
          <c:y val="7.0038910505836924E-2"/>
          <c:w val="0.88439472768155369"/>
          <c:h val="0.73151750972761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Cars!$I$4</c:f>
              <c:strCache>
                <c:ptCount val="1"/>
                <c:pt idx="0">
                  <c:v>TOTAL VEHICLES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Cars!$I$5:$I$35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0AF-4274-9743-6E57EA7D37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2312640"/>
        <c:axId val="302315776"/>
      </c:barChart>
      <c:catAx>
        <c:axId val="302312640"/>
        <c:scaling>
          <c:orientation val="minMax"/>
        </c:scaling>
        <c:delete val="0"/>
        <c:axPos val="b"/>
        <c:title>
          <c:tx>
            <c:strRef>
              <c:f>Cars!$B$3</c:f>
              <c:strCache>
                <c:ptCount val="1"/>
                <c:pt idx="0">
                  <c:v>November 2017</c:v>
                </c:pt>
              </c:strCache>
            </c:strRef>
          </c:tx>
          <c:layout>
            <c:manualLayout>
              <c:xMode val="edge"/>
              <c:yMode val="edge"/>
              <c:x val="0.47398933117573488"/>
              <c:y val="0.90272373540856365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2315776"/>
        <c:crosses val="autoZero"/>
        <c:auto val="0"/>
        <c:lblAlgn val="ctr"/>
        <c:lblOffset val="100"/>
        <c:tickLblSkip val="2"/>
        <c:tickMarkSkip val="1"/>
        <c:noMultiLvlLbl val="0"/>
      </c:catAx>
      <c:valAx>
        <c:axId val="30231577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Cars</a:t>
                </a:r>
              </a:p>
            </c:rich>
          </c:tx>
          <c:layout>
            <c:manualLayout>
              <c:xMode val="edge"/>
              <c:yMode val="edge"/>
              <c:x val="9.6339294954417582E-3"/>
              <c:y val="0.377431906614785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2312640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5709837488476484E-2"/>
          <c:y val="5.3003625020057517E-2"/>
          <c:w val="0.90851804986171247"/>
          <c:h val="0.7844536502968513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'Vehicle Counter'!$F$4:$F$33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506-47B6-9935-32E91380F0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2317736"/>
        <c:axId val="302311856"/>
      </c:barChart>
      <c:catAx>
        <c:axId val="302317736"/>
        <c:scaling>
          <c:orientation val="minMax"/>
        </c:scaling>
        <c:delete val="0"/>
        <c:axPos val="b"/>
        <c:title>
          <c:tx>
            <c:strRef>
              <c:f>'Vehicle Counter'!$A$2:$H$2</c:f>
              <c:strCache>
                <c:ptCount val="8"/>
                <c:pt idx="0">
                  <c:v>#REF!</c:v>
                </c:pt>
              </c:strCache>
            </c:strRef>
          </c:tx>
          <c:layout>
            <c:manualLayout>
              <c:xMode val="edge"/>
              <c:yMode val="edge"/>
              <c:x val="0.47003190774095832"/>
              <c:y val="0.90812877534365222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231185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30231185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VEHICLE COUNTER NUMBER</a:t>
                </a:r>
              </a:p>
            </c:rich>
          </c:tx>
          <c:layout>
            <c:manualLayout>
              <c:xMode val="edge"/>
              <c:yMode val="edge"/>
              <c:x val="7.8864414050497152E-3"/>
              <c:y val="0.1837459000695337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2317736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78344239310796"/>
          <c:y val="7.0038735864336663E-2"/>
          <c:w val="0.88439472768155369"/>
          <c:h val="0.73151750972761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Caravans!$I$4</c:f>
              <c:strCache>
                <c:ptCount val="1"/>
                <c:pt idx="0">
                  <c:v>TOTAL VEHICLES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Caravans!$I$5:$I$35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0AF-4274-9743-6E57EA7D37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02316560"/>
        <c:axId val="302314208"/>
      </c:barChart>
      <c:catAx>
        <c:axId val="3023165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Day 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314208"/>
        <c:crosses val="autoZero"/>
        <c:auto val="0"/>
        <c:lblAlgn val="ctr"/>
        <c:lblOffset val="100"/>
        <c:tickLblSkip val="2"/>
        <c:tickMarkSkip val="1"/>
        <c:noMultiLvlLbl val="0"/>
      </c:catAx>
      <c:valAx>
        <c:axId val="302314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Total Vehicles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316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0457354758961713E-2"/>
          <c:y val="5.2307770895088999E-2"/>
          <c:w val="0.9208899876390606"/>
          <c:h val="0.7138472263329768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Midnight!$I$4</c:f>
              <c:strCache>
                <c:ptCount val="1"/>
                <c:pt idx="0">
                  <c:v>TOTAL
VEHICLES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Midnight!$I$5:$I$35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C48-492E-BCFB-4BBAE6A114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2313816"/>
        <c:axId val="302314600"/>
      </c:barChart>
      <c:catAx>
        <c:axId val="302313816"/>
        <c:scaling>
          <c:orientation val="minMax"/>
        </c:scaling>
        <c:delete val="0"/>
        <c:axPos val="b"/>
        <c:title>
          <c:tx>
            <c:strRef>
              <c:f>Midnight!$B$3</c:f>
              <c:strCache>
                <c:ptCount val="1"/>
                <c:pt idx="0">
                  <c:v>November 2017</c:v>
                </c:pt>
              </c:strCache>
            </c:strRef>
          </c:tx>
          <c:layout>
            <c:manualLayout>
              <c:xMode val="edge"/>
              <c:yMode val="edge"/>
              <c:x val="0.48949320148331271"/>
              <c:y val="0.84923204512025563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231460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30231460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 VEHICLES</a:t>
                </a:r>
              </a:p>
            </c:rich>
          </c:tx>
          <c:layout>
            <c:manualLayout>
              <c:xMode val="edge"/>
              <c:yMode val="edge"/>
              <c:x val="1.3597033374536464E-2"/>
              <c:y val="0.3200004807699569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2313816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55" r="0.75000000000000355" t="1" header="0.5" footer="0.5"/>
    <c:pageSetup paperSize="9" orientation="landscape" horizontalDpi="0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Totals by Weekday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'Shift Stats'!$K$4</c:f>
              <c:strCache>
                <c:ptCount val="1"/>
                <c:pt idx="0">
                  <c:v>Night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'Shift Stats'!$J$5:$J$11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'Shift Stats'!$K$5:$K$11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ser>
          <c:idx val="1"/>
          <c:order val="1"/>
          <c:tx>
            <c:strRef>
              <c:f>'Shift Stats'!$L$4</c:f>
              <c:strCache>
                <c:ptCount val="1"/>
                <c:pt idx="0">
                  <c:v>Day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'Shift Stats'!$J$5:$J$11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'Shift Stats'!$L$5:$L$11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ser>
          <c:idx val="2"/>
          <c:order val="2"/>
          <c:tx>
            <c:strRef>
              <c:f>'Shift Stats'!$M$4</c:f>
              <c:strCache>
                <c:ptCount val="1"/>
                <c:pt idx="0">
                  <c:v>Afternoon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'Shift Stats'!$J$5:$J$11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'Shift Stats'!$M$5:$M$11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56250656"/>
        <c:axId val="356245168"/>
      </c:barChart>
      <c:catAx>
        <c:axId val="356250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245168"/>
        <c:crosses val="autoZero"/>
        <c:auto val="1"/>
        <c:lblAlgn val="ctr"/>
        <c:lblOffset val="100"/>
        <c:noMultiLvlLbl val="0"/>
      </c:catAx>
      <c:valAx>
        <c:axId val="356245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250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Volumes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'Shift Stats'!$H$4</c:f>
              <c:strCache>
                <c:ptCount val="1"/>
                <c:pt idx="0">
                  <c:v>Total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'Shift Stats'!$H$5:$H$35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6248304"/>
        <c:axId val="356245560"/>
      </c:scatterChart>
      <c:valAx>
        <c:axId val="356248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245560"/>
        <c:crosses val="autoZero"/>
        <c:crossBetween val="midCat"/>
      </c:valAx>
      <c:valAx>
        <c:axId val="356245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248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Averages By Weekday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'Shift Stats'!$K$29</c:f>
              <c:strCache>
                <c:ptCount val="1"/>
                <c:pt idx="0">
                  <c:v>Night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'Shift Stats'!$J$30:$J$36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'Shift Stats'!$K$30:$K$36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ser>
          <c:idx val="1"/>
          <c:order val="1"/>
          <c:tx>
            <c:strRef>
              <c:f>'Shift Stats'!$L$29</c:f>
              <c:strCache>
                <c:ptCount val="1"/>
                <c:pt idx="0">
                  <c:v>Day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'Shift Stats'!$J$30:$J$36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'Shift Stats'!$L$30:$L$36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ser>
          <c:idx val="2"/>
          <c:order val="2"/>
          <c:tx>
            <c:strRef>
              <c:f>'Shift Stats'!$M$29</c:f>
              <c:strCache>
                <c:ptCount val="1"/>
                <c:pt idx="0">
                  <c:v>Afternoon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'Shift Stats'!$J$30:$J$36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'Shift Stats'!$M$30:$M$36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56250264"/>
        <c:axId val="356248696"/>
      </c:barChart>
      <c:catAx>
        <c:axId val="356250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248696"/>
        <c:crosses val="autoZero"/>
        <c:auto val="1"/>
        <c:lblAlgn val="ctr"/>
        <c:lblOffset val="100"/>
        <c:noMultiLvlLbl val="0"/>
      </c:catAx>
      <c:valAx>
        <c:axId val="356248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250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606332595703391E-2"/>
          <c:y val="7.4028741402870371E-2"/>
          <c:w val="0.87404580152672273"/>
          <c:h val="0.6822124349788988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'Vehicles Carrying Fruit'!$J$5:$J$35</c:f>
              <c:numCache>
                <c:formatCode>General</c:formatCode>
                <c:ptCount val="31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2B5-4D60-AA3B-94ACD078EB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6246344"/>
        <c:axId val="356247912"/>
      </c:barChart>
      <c:catAx>
        <c:axId val="356246344"/>
        <c:scaling>
          <c:orientation val="minMax"/>
        </c:scaling>
        <c:delete val="0"/>
        <c:axPos val="b"/>
        <c:title>
          <c:tx>
            <c:strRef>
              <c:f>'Vehicles Carrying Fruit'!$C$3</c:f>
              <c:strCache>
                <c:ptCount val="1"/>
                <c:pt idx="0">
                  <c:v>November 2017</c:v>
                </c:pt>
              </c:strCache>
            </c:strRef>
          </c:tx>
          <c:layout>
            <c:manualLayout>
              <c:xMode val="edge"/>
              <c:yMode val="edge"/>
              <c:x val="0.39896897687373389"/>
              <c:y val="0.88082358803233918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6247912"/>
        <c:crosses val="autoZero"/>
        <c:auto val="0"/>
        <c:lblAlgn val="ctr"/>
        <c:lblOffset val="100"/>
        <c:tickLblSkip val="2"/>
        <c:tickMarkSkip val="1"/>
        <c:noMultiLvlLbl val="0"/>
      </c:catAx>
      <c:valAx>
        <c:axId val="35624791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 VEHICLES</a:t>
                </a:r>
              </a:p>
            </c:rich>
          </c:tx>
          <c:layout>
            <c:manualLayout>
              <c:xMode val="edge"/>
              <c:yMode val="edge"/>
              <c:x val="9.6331605542081568E-3"/>
              <c:y val="0.2883218461465709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6246344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55" r="0.75000000000000355" t="1" header="0.5" footer="0.5"/>
    <c:pageSetup paperSize="9" orientation="landscape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7729149543573314E-2"/>
          <c:y val="9.1228382772694225E-2"/>
          <c:w val="0.90438334978770629"/>
          <c:h val="0.7508797658983206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808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'Stock Totals'!$C$5:$C$8</c:f>
              <c:strCache>
                <c:ptCount val="4"/>
                <c:pt idx="0">
                  <c:v>Sheep</c:v>
                </c:pt>
                <c:pt idx="1">
                  <c:v>Cattle</c:v>
                </c:pt>
                <c:pt idx="2">
                  <c:v>Pigs</c:v>
                </c:pt>
                <c:pt idx="3">
                  <c:v>Other</c:v>
                </c:pt>
              </c:strCache>
            </c:strRef>
          </c:cat>
          <c:val>
            <c:numRef>
              <c:f>'Stock Totals'!$D$5:$D$8</c:f>
              <c:numCache>
                <c:formatCode>0</c:formatCode>
                <c:ptCount val="4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8D1-439D-B5A7-3CD78B8A1B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6249480"/>
        <c:axId val="356251440"/>
      </c:barChart>
      <c:catAx>
        <c:axId val="356249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62514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62514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6249480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55" r="0.7500000000000035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17319</xdr:colOff>
      <xdr:row>37</xdr:row>
      <xdr:rowOff>7699</xdr:rowOff>
    </xdr:from>
    <xdr:to>
      <xdr:col>11</xdr:col>
      <xdr:colOff>588819</xdr:colOff>
      <xdr:row>50</xdr:row>
      <xdr:rowOff>138546</xdr:rowOff>
    </xdr:to>
    <xdr:graphicFrame macro="">
      <xdr:nvGraphicFramePr>
        <xdr:cNvPr id="102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37</xdr:row>
      <xdr:rowOff>15380</xdr:rowOff>
    </xdr:from>
    <xdr:to>
      <xdr:col>8</xdr:col>
      <xdr:colOff>775607</xdr:colOff>
      <xdr:row>51</xdr:row>
      <xdr:rowOff>149679</xdr:rowOff>
    </xdr:to>
    <xdr:graphicFrame macro="">
      <xdr:nvGraphicFramePr>
        <xdr:cNvPr id="2050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15587</xdr:colOff>
      <xdr:row>37</xdr:row>
      <xdr:rowOff>95250</xdr:rowOff>
    </xdr:from>
    <xdr:to>
      <xdr:col>8</xdr:col>
      <xdr:colOff>831274</xdr:colOff>
      <xdr:row>52</xdr:row>
      <xdr:rowOff>142875</xdr:rowOff>
    </xdr:to>
    <xdr:graphicFrame macro="">
      <xdr:nvGraphicFramePr>
        <xdr:cNvPr id="307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37</xdr:row>
      <xdr:rowOff>57150</xdr:rowOff>
    </xdr:from>
    <xdr:to>
      <xdr:col>9</xdr:col>
      <xdr:colOff>0</xdr:colOff>
      <xdr:row>54</xdr:row>
      <xdr:rowOff>0</xdr:rowOff>
    </xdr:to>
    <xdr:graphicFrame macro="">
      <xdr:nvGraphicFramePr>
        <xdr:cNvPr id="409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15587</xdr:colOff>
      <xdr:row>37</xdr:row>
      <xdr:rowOff>95250</xdr:rowOff>
    </xdr:from>
    <xdr:to>
      <xdr:col>8</xdr:col>
      <xdr:colOff>831274</xdr:colOff>
      <xdr:row>52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27214</xdr:colOff>
      <xdr:row>37</xdr:row>
      <xdr:rowOff>188913</xdr:rowOff>
    </xdr:from>
    <xdr:to>
      <xdr:col>13</xdr:col>
      <xdr:colOff>625928</xdr:colOff>
      <xdr:row>59</xdr:row>
      <xdr:rowOff>23813</xdr:rowOff>
    </xdr:to>
    <xdr:graphicFrame macro="">
      <xdr:nvGraphicFramePr>
        <xdr:cNvPr id="512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15240</xdr:colOff>
      <xdr:row>13</xdr:row>
      <xdr:rowOff>22860</xdr:rowOff>
    </xdr:from>
    <xdr:to>
      <xdr:col>14</xdr:col>
      <xdr:colOff>0</xdr:colOff>
      <xdr:row>25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7620</xdr:colOff>
      <xdr:row>36</xdr:row>
      <xdr:rowOff>129540</xdr:rowOff>
    </xdr:from>
    <xdr:to>
      <xdr:col>8</xdr:col>
      <xdr:colOff>0</xdr:colOff>
      <xdr:row>51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38</xdr:row>
      <xdr:rowOff>61911</xdr:rowOff>
    </xdr:from>
    <xdr:to>
      <xdr:col>14</xdr:col>
      <xdr:colOff>0</xdr:colOff>
      <xdr:row>51</xdr:row>
      <xdr:rowOff>123824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22411</xdr:colOff>
      <xdr:row>35</xdr:row>
      <xdr:rowOff>166689</xdr:rowOff>
    </xdr:from>
    <xdr:to>
      <xdr:col>9</xdr:col>
      <xdr:colOff>827690</xdr:colOff>
      <xdr:row>46</xdr:row>
      <xdr:rowOff>179295</xdr:rowOff>
    </xdr:to>
    <xdr:graphicFrame macro="">
      <xdr:nvGraphicFramePr>
        <xdr:cNvPr id="614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866775</xdr:colOff>
      <xdr:row>10</xdr:row>
      <xdr:rowOff>28575</xdr:rowOff>
    </xdr:from>
    <xdr:to>
      <xdr:col>6</xdr:col>
      <xdr:colOff>390525</xdr:colOff>
      <xdr:row>26</xdr:row>
      <xdr:rowOff>152400</xdr:rowOff>
    </xdr:to>
    <xdr:graphicFrame macro="">
      <xdr:nvGraphicFramePr>
        <xdr:cNvPr id="1024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381000</xdr:colOff>
          <xdr:row>3</xdr:row>
          <xdr:rowOff>0</xdr:rowOff>
        </xdr:from>
        <xdr:to>
          <xdr:col>10</xdr:col>
          <xdr:colOff>571500</xdr:colOff>
          <xdr:row>4</xdr:row>
          <xdr:rowOff>99060</xdr:rowOff>
        </xdr:to>
        <xdr:sp macro="" textlink="">
          <xdr:nvSpPr>
            <xdr:cNvPr id="10241" name="cmdInject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563880</xdr:colOff>
          <xdr:row>3</xdr:row>
          <xdr:rowOff>0</xdr:rowOff>
        </xdr:from>
        <xdr:to>
          <xdr:col>9</xdr:col>
          <xdr:colOff>312420</xdr:colOff>
          <xdr:row>4</xdr:row>
          <xdr:rowOff>99060</xdr:rowOff>
        </xdr:to>
        <xdr:sp macro="" textlink="">
          <xdr:nvSpPr>
            <xdr:cNvPr id="10243" name="cmdClearAll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121920</xdr:colOff>
          <xdr:row>39</xdr:row>
          <xdr:rowOff>0</xdr:rowOff>
        </xdr:from>
        <xdr:to>
          <xdr:col>6</xdr:col>
          <xdr:colOff>381000</xdr:colOff>
          <xdr:row>40</xdr:row>
          <xdr:rowOff>106680</xdr:rowOff>
        </xdr:to>
        <xdr:sp macro="" textlink="">
          <xdr:nvSpPr>
            <xdr:cNvPr id="10248" name="cmdClearNightShift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144780</xdr:colOff>
          <xdr:row>40</xdr:row>
          <xdr:rowOff>22860</xdr:rowOff>
        </xdr:from>
        <xdr:to>
          <xdr:col>6</xdr:col>
          <xdr:colOff>342900</xdr:colOff>
          <xdr:row>40</xdr:row>
          <xdr:rowOff>304800</xdr:rowOff>
        </xdr:to>
        <xdr:sp macro="" textlink="">
          <xdr:nvSpPr>
            <xdr:cNvPr id="10249" name="cmdClearDayShift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160020</xdr:colOff>
          <xdr:row>58</xdr:row>
          <xdr:rowOff>22860</xdr:rowOff>
        </xdr:from>
        <xdr:to>
          <xdr:col>6</xdr:col>
          <xdr:colOff>388620</xdr:colOff>
          <xdr:row>58</xdr:row>
          <xdr:rowOff>304800</xdr:rowOff>
        </xdr:to>
        <xdr:sp macro="" textlink="">
          <xdr:nvSpPr>
            <xdr:cNvPr id="10250" name="cmdClearAfternoonShift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99060</xdr:colOff>
          <xdr:row>3</xdr:row>
          <xdr:rowOff>22860</xdr:rowOff>
        </xdr:from>
        <xdr:to>
          <xdr:col>7</xdr:col>
          <xdr:colOff>518160</xdr:colOff>
          <xdr:row>4</xdr:row>
          <xdr:rowOff>45720</xdr:rowOff>
        </xdr:to>
        <xdr:sp macro="" textlink="">
          <xdr:nvSpPr>
            <xdr:cNvPr id="10252" name="chkNightShift" hidden="1">
              <a:extLst>
                <a:ext uri="{63B3BB69-23CF-44E3-9099-C40C66FF867C}">
                  <a14:compatExt spid="_x0000_s10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99060</xdr:colOff>
          <xdr:row>4</xdr:row>
          <xdr:rowOff>22860</xdr:rowOff>
        </xdr:from>
        <xdr:to>
          <xdr:col>7</xdr:col>
          <xdr:colOff>518160</xdr:colOff>
          <xdr:row>4</xdr:row>
          <xdr:rowOff>228600</xdr:rowOff>
        </xdr:to>
        <xdr:sp macro="" textlink="">
          <xdr:nvSpPr>
            <xdr:cNvPr id="10255" name="chkAfternoonShift" hidden="1">
              <a:extLst>
                <a:ext uri="{63B3BB69-23CF-44E3-9099-C40C66FF867C}">
                  <a14:compatExt spid="_x0000_s10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0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ruitConfiscated">
    <pageSetUpPr autoPageBreaks="0"/>
  </sheetPr>
  <dimension ref="B1:M37"/>
  <sheetViews>
    <sheetView showGridLines="0" showRowColHeaders="0" topLeftCell="A19" zoomScale="85" zoomScaleNormal="130" workbookViewId="0">
      <selection activeCell="K11" sqref="K11"/>
    </sheetView>
  </sheetViews>
  <sheetFormatPr defaultColWidth="9.109375" defaultRowHeight="15" x14ac:dyDescent="0.25"/>
  <cols>
    <col min="1" max="1" width="9.109375" style="38"/>
    <col min="2" max="2" width="8.33203125" style="38" customWidth="1"/>
    <col min="3" max="4" width="8.33203125" style="49" customWidth="1"/>
    <col min="5" max="6" width="8.33203125" style="51" customWidth="1"/>
    <col min="7" max="7" width="8.33203125" style="49" customWidth="1"/>
    <col min="8" max="9" width="11.6640625" style="49" customWidth="1"/>
    <col min="10" max="16384" width="9.109375" style="38"/>
  </cols>
  <sheetData>
    <row r="1" spans="2:13" ht="15.6" thickBot="1" x14ac:dyDescent="0.3"/>
    <row r="2" spans="2:13" ht="15.6" x14ac:dyDescent="0.3">
      <c r="B2" s="355" t="str">
        <f>"AMOUNT OF FRUIT CONFISCATED AT " &amp; Location &amp; " (kg)"</f>
        <v>AMOUNT OF FRUIT CONFISCATED AT OODLA WIRRA (kg)</v>
      </c>
      <c r="C2" s="356"/>
      <c r="D2" s="356"/>
      <c r="E2" s="356"/>
      <c r="F2" s="356"/>
      <c r="G2" s="356"/>
      <c r="H2" s="356"/>
      <c r="I2" s="356"/>
      <c r="J2" s="357"/>
      <c r="K2" s="357"/>
      <c r="L2" s="358"/>
    </row>
    <row r="3" spans="2:13" ht="16.2" thickBot="1" x14ac:dyDescent="0.35">
      <c r="B3" s="359" t="str">
        <f>Month &amp;  " " &amp; Year</f>
        <v>November 2017</v>
      </c>
      <c r="C3" s="360"/>
      <c r="D3" s="360"/>
      <c r="E3" s="360"/>
      <c r="F3" s="360"/>
      <c r="G3" s="360"/>
      <c r="H3" s="360"/>
      <c r="I3" s="360"/>
      <c r="J3" s="361"/>
      <c r="K3" s="361"/>
      <c r="L3" s="362"/>
    </row>
    <row r="4" spans="2:13" s="50" customFormat="1" ht="49.5" customHeight="1" thickBot="1" x14ac:dyDescent="0.3">
      <c r="B4" s="122" t="s">
        <v>0</v>
      </c>
      <c r="C4" s="123" t="s">
        <v>1</v>
      </c>
      <c r="D4" s="123" t="s">
        <v>2</v>
      </c>
      <c r="E4" s="123" t="s">
        <v>3</v>
      </c>
      <c r="F4" s="123" t="s">
        <v>4</v>
      </c>
      <c r="G4" s="123" t="s">
        <v>5</v>
      </c>
      <c r="H4" s="123" t="s">
        <v>6</v>
      </c>
      <c r="I4" s="124" t="s">
        <v>23</v>
      </c>
      <c r="J4" s="125" t="s">
        <v>45</v>
      </c>
      <c r="K4" s="126" t="s">
        <v>46</v>
      </c>
      <c r="L4" s="123" t="s">
        <v>28</v>
      </c>
    </row>
    <row r="5" spans="2:13" ht="15.6" x14ac:dyDescent="0.3">
      <c r="B5" s="118">
        <v>1</v>
      </c>
      <c r="C5" s="119">
        <v>0</v>
      </c>
      <c r="D5" s="119">
        <v>0</v>
      </c>
      <c r="E5" s="119">
        <v>0</v>
      </c>
      <c r="F5" s="119">
        <v>0</v>
      </c>
      <c r="G5" s="119">
        <v>0</v>
      </c>
      <c r="H5" s="119">
        <v>0</v>
      </c>
      <c r="I5" s="120">
        <f>SUM(C5:H5)</f>
        <v>0</v>
      </c>
      <c r="J5" s="119">
        <v>0</v>
      </c>
      <c r="K5" s="119">
        <v>0</v>
      </c>
      <c r="L5" s="121">
        <f>SUM(J5:K5)</f>
        <v>0</v>
      </c>
      <c r="M5" s="200">
        <f>I5-L5</f>
        <v>0</v>
      </c>
    </row>
    <row r="6" spans="2:13" ht="15.6" x14ac:dyDescent="0.3">
      <c r="B6" s="43">
        <v>2</v>
      </c>
      <c r="C6" s="44">
        <v>0</v>
      </c>
      <c r="D6" s="44">
        <v>0</v>
      </c>
      <c r="E6" s="44">
        <v>0</v>
      </c>
      <c r="F6" s="44">
        <v>0</v>
      </c>
      <c r="G6" s="44">
        <v>0</v>
      </c>
      <c r="H6" s="44">
        <v>0</v>
      </c>
      <c r="I6" s="111">
        <f t="shared" ref="I6:I35" si="0">SUM(C6:H6)</f>
        <v>0</v>
      </c>
      <c r="J6" s="44">
        <v>0</v>
      </c>
      <c r="K6" s="44">
        <v>0</v>
      </c>
      <c r="L6" s="114">
        <f t="shared" ref="L6:L35" si="1">SUM(J6:K6)</f>
        <v>0</v>
      </c>
      <c r="M6" s="200">
        <f t="shared" ref="M6:M35" si="2">I6-L6</f>
        <v>0</v>
      </c>
    </row>
    <row r="7" spans="2:13" ht="15.6" x14ac:dyDescent="0.3">
      <c r="B7" s="43">
        <v>3</v>
      </c>
      <c r="C7" s="44">
        <v>0</v>
      </c>
      <c r="D7" s="44">
        <v>0</v>
      </c>
      <c r="E7" s="44">
        <v>0</v>
      </c>
      <c r="F7" s="44">
        <v>0</v>
      </c>
      <c r="G7" s="44">
        <v>0</v>
      </c>
      <c r="H7" s="44">
        <v>0</v>
      </c>
      <c r="I7" s="111">
        <f t="shared" si="0"/>
        <v>0</v>
      </c>
      <c r="J7" s="44">
        <v>0</v>
      </c>
      <c r="K7" s="44">
        <v>0</v>
      </c>
      <c r="L7" s="114">
        <f t="shared" si="1"/>
        <v>0</v>
      </c>
      <c r="M7" s="200">
        <f t="shared" si="2"/>
        <v>0</v>
      </c>
    </row>
    <row r="8" spans="2:13" ht="15.6" x14ac:dyDescent="0.3">
      <c r="B8" s="43">
        <v>4</v>
      </c>
      <c r="C8" s="44">
        <v>0</v>
      </c>
      <c r="D8" s="44">
        <v>0</v>
      </c>
      <c r="E8" s="44">
        <v>0</v>
      </c>
      <c r="F8" s="44">
        <v>0</v>
      </c>
      <c r="G8" s="44">
        <v>0</v>
      </c>
      <c r="H8" s="44">
        <v>0</v>
      </c>
      <c r="I8" s="111">
        <f t="shared" si="0"/>
        <v>0</v>
      </c>
      <c r="J8" s="44">
        <v>0</v>
      </c>
      <c r="K8" s="44">
        <v>0</v>
      </c>
      <c r="L8" s="114">
        <f t="shared" si="1"/>
        <v>0</v>
      </c>
      <c r="M8" s="200">
        <f t="shared" si="2"/>
        <v>0</v>
      </c>
    </row>
    <row r="9" spans="2:13" ht="15.6" x14ac:dyDescent="0.3">
      <c r="B9" s="43">
        <v>5</v>
      </c>
      <c r="C9" s="44">
        <v>0</v>
      </c>
      <c r="D9" s="44">
        <v>0</v>
      </c>
      <c r="E9" s="44">
        <v>0</v>
      </c>
      <c r="F9" s="44">
        <v>0</v>
      </c>
      <c r="G9" s="44">
        <v>0</v>
      </c>
      <c r="H9" s="44">
        <v>0</v>
      </c>
      <c r="I9" s="111">
        <f t="shared" si="0"/>
        <v>0</v>
      </c>
      <c r="J9" s="44">
        <v>0</v>
      </c>
      <c r="K9" s="44">
        <v>0</v>
      </c>
      <c r="L9" s="114">
        <f t="shared" si="1"/>
        <v>0</v>
      </c>
      <c r="M9" s="200">
        <f t="shared" si="2"/>
        <v>0</v>
      </c>
    </row>
    <row r="10" spans="2:13" ht="15.6" x14ac:dyDescent="0.3">
      <c r="B10" s="43">
        <v>6</v>
      </c>
      <c r="C10" s="44">
        <v>0</v>
      </c>
      <c r="D10" s="44">
        <v>0</v>
      </c>
      <c r="E10" s="44">
        <v>0</v>
      </c>
      <c r="F10" s="44">
        <v>0</v>
      </c>
      <c r="G10" s="44">
        <v>0</v>
      </c>
      <c r="H10" s="44">
        <v>0</v>
      </c>
      <c r="I10" s="111">
        <f t="shared" si="0"/>
        <v>0</v>
      </c>
      <c r="J10" s="44">
        <v>0</v>
      </c>
      <c r="K10" s="44">
        <v>0</v>
      </c>
      <c r="L10" s="114">
        <f t="shared" si="1"/>
        <v>0</v>
      </c>
      <c r="M10" s="200">
        <f t="shared" si="2"/>
        <v>0</v>
      </c>
    </row>
    <row r="11" spans="2:13" ht="15.6" x14ac:dyDescent="0.3">
      <c r="B11" s="43">
        <v>7</v>
      </c>
      <c r="C11" s="44">
        <v>0</v>
      </c>
      <c r="D11" s="44">
        <v>0</v>
      </c>
      <c r="E11" s="44">
        <v>0</v>
      </c>
      <c r="F11" s="44">
        <v>0</v>
      </c>
      <c r="G11" s="44">
        <v>0</v>
      </c>
      <c r="H11" s="44">
        <v>0</v>
      </c>
      <c r="I11" s="111">
        <f t="shared" si="0"/>
        <v>0</v>
      </c>
      <c r="J11" s="44">
        <v>0</v>
      </c>
      <c r="K11" s="44">
        <v>0</v>
      </c>
      <c r="L11" s="114">
        <f t="shared" si="1"/>
        <v>0</v>
      </c>
      <c r="M11" s="200">
        <f t="shared" si="2"/>
        <v>0</v>
      </c>
    </row>
    <row r="12" spans="2:13" ht="15.6" x14ac:dyDescent="0.3">
      <c r="B12" s="43">
        <v>8</v>
      </c>
      <c r="C12" s="44">
        <v>0</v>
      </c>
      <c r="D12" s="44">
        <v>0</v>
      </c>
      <c r="E12" s="44">
        <v>0</v>
      </c>
      <c r="F12" s="44">
        <v>0</v>
      </c>
      <c r="G12" s="44">
        <v>0</v>
      </c>
      <c r="H12" s="44">
        <v>0</v>
      </c>
      <c r="I12" s="111">
        <f t="shared" si="0"/>
        <v>0</v>
      </c>
      <c r="J12" s="44">
        <v>0</v>
      </c>
      <c r="K12" s="44">
        <v>0</v>
      </c>
      <c r="L12" s="114">
        <f t="shared" si="1"/>
        <v>0</v>
      </c>
      <c r="M12" s="200">
        <f t="shared" si="2"/>
        <v>0</v>
      </c>
    </row>
    <row r="13" spans="2:13" ht="15.6" x14ac:dyDescent="0.3">
      <c r="B13" s="43">
        <v>9</v>
      </c>
      <c r="C13" s="44">
        <v>0</v>
      </c>
      <c r="D13" s="44">
        <v>0</v>
      </c>
      <c r="E13" s="44">
        <v>0</v>
      </c>
      <c r="F13" s="44">
        <v>0</v>
      </c>
      <c r="G13" s="44">
        <v>0</v>
      </c>
      <c r="H13" s="44">
        <v>0</v>
      </c>
      <c r="I13" s="111">
        <f t="shared" si="0"/>
        <v>0</v>
      </c>
      <c r="J13" s="44">
        <v>0</v>
      </c>
      <c r="K13" s="44">
        <v>0</v>
      </c>
      <c r="L13" s="114">
        <f t="shared" si="1"/>
        <v>0</v>
      </c>
      <c r="M13" s="200">
        <f t="shared" si="2"/>
        <v>0</v>
      </c>
    </row>
    <row r="14" spans="2:13" ht="15.6" x14ac:dyDescent="0.3">
      <c r="B14" s="43">
        <v>10</v>
      </c>
      <c r="C14" s="44">
        <v>0</v>
      </c>
      <c r="D14" s="44">
        <v>0</v>
      </c>
      <c r="E14" s="44">
        <v>0</v>
      </c>
      <c r="F14" s="44">
        <v>0</v>
      </c>
      <c r="G14" s="44">
        <v>0</v>
      </c>
      <c r="H14" s="44">
        <v>0</v>
      </c>
      <c r="I14" s="111">
        <f t="shared" si="0"/>
        <v>0</v>
      </c>
      <c r="J14" s="44">
        <v>0</v>
      </c>
      <c r="K14" s="44">
        <v>0</v>
      </c>
      <c r="L14" s="114">
        <f t="shared" si="1"/>
        <v>0</v>
      </c>
      <c r="M14" s="200">
        <f t="shared" si="2"/>
        <v>0</v>
      </c>
    </row>
    <row r="15" spans="2:13" ht="15.6" x14ac:dyDescent="0.3">
      <c r="B15" s="43">
        <v>11</v>
      </c>
      <c r="C15" s="44">
        <v>0</v>
      </c>
      <c r="D15" s="44">
        <v>0</v>
      </c>
      <c r="E15" s="44">
        <v>0</v>
      </c>
      <c r="F15" s="44">
        <v>0</v>
      </c>
      <c r="G15" s="44">
        <v>0</v>
      </c>
      <c r="H15" s="44">
        <v>0</v>
      </c>
      <c r="I15" s="111">
        <f t="shared" si="0"/>
        <v>0</v>
      </c>
      <c r="J15" s="44">
        <v>0</v>
      </c>
      <c r="K15" s="44">
        <v>0</v>
      </c>
      <c r="L15" s="114">
        <f t="shared" si="1"/>
        <v>0</v>
      </c>
      <c r="M15" s="200">
        <f t="shared" si="2"/>
        <v>0</v>
      </c>
    </row>
    <row r="16" spans="2:13" ht="15.6" x14ac:dyDescent="0.3">
      <c r="B16" s="43">
        <v>12</v>
      </c>
      <c r="C16" s="44">
        <v>0</v>
      </c>
      <c r="D16" s="44">
        <v>0</v>
      </c>
      <c r="E16" s="44">
        <v>0</v>
      </c>
      <c r="F16" s="44">
        <v>0</v>
      </c>
      <c r="G16" s="44">
        <v>0</v>
      </c>
      <c r="H16" s="44">
        <v>0</v>
      </c>
      <c r="I16" s="111">
        <f t="shared" si="0"/>
        <v>0</v>
      </c>
      <c r="J16" s="44">
        <v>0</v>
      </c>
      <c r="K16" s="44">
        <v>0</v>
      </c>
      <c r="L16" s="114">
        <f t="shared" si="1"/>
        <v>0</v>
      </c>
      <c r="M16" s="200">
        <f t="shared" si="2"/>
        <v>0</v>
      </c>
    </row>
    <row r="17" spans="2:13" ht="15.6" x14ac:dyDescent="0.3">
      <c r="B17" s="43">
        <v>13</v>
      </c>
      <c r="C17" s="44">
        <v>0</v>
      </c>
      <c r="D17" s="44">
        <v>0</v>
      </c>
      <c r="E17" s="44">
        <v>0</v>
      </c>
      <c r="F17" s="44">
        <v>0</v>
      </c>
      <c r="G17" s="44">
        <v>0</v>
      </c>
      <c r="H17" s="44">
        <v>0</v>
      </c>
      <c r="I17" s="111">
        <f t="shared" si="0"/>
        <v>0</v>
      </c>
      <c r="J17" s="44">
        <v>0</v>
      </c>
      <c r="K17" s="44">
        <v>0</v>
      </c>
      <c r="L17" s="114">
        <f t="shared" si="1"/>
        <v>0</v>
      </c>
      <c r="M17" s="200">
        <f t="shared" si="2"/>
        <v>0</v>
      </c>
    </row>
    <row r="18" spans="2:13" ht="15.6" x14ac:dyDescent="0.3">
      <c r="B18" s="43">
        <v>14</v>
      </c>
      <c r="C18" s="44">
        <v>0</v>
      </c>
      <c r="D18" s="44">
        <v>0</v>
      </c>
      <c r="E18" s="44">
        <v>0</v>
      </c>
      <c r="F18" s="44">
        <v>0</v>
      </c>
      <c r="G18" s="44">
        <v>0</v>
      </c>
      <c r="H18" s="44">
        <v>0</v>
      </c>
      <c r="I18" s="111">
        <f t="shared" si="0"/>
        <v>0</v>
      </c>
      <c r="J18" s="44">
        <v>0</v>
      </c>
      <c r="K18" s="44">
        <v>0</v>
      </c>
      <c r="L18" s="114">
        <f t="shared" si="1"/>
        <v>0</v>
      </c>
      <c r="M18" s="200">
        <f t="shared" si="2"/>
        <v>0</v>
      </c>
    </row>
    <row r="19" spans="2:13" ht="15.6" x14ac:dyDescent="0.3">
      <c r="B19" s="43">
        <v>15</v>
      </c>
      <c r="C19" s="44">
        <v>0</v>
      </c>
      <c r="D19" s="44">
        <v>0</v>
      </c>
      <c r="E19" s="44">
        <v>0</v>
      </c>
      <c r="F19" s="44">
        <v>0</v>
      </c>
      <c r="G19" s="44">
        <v>0</v>
      </c>
      <c r="H19" s="44">
        <v>0</v>
      </c>
      <c r="I19" s="111">
        <f t="shared" si="0"/>
        <v>0</v>
      </c>
      <c r="J19" s="44">
        <v>0</v>
      </c>
      <c r="K19" s="44">
        <v>0</v>
      </c>
      <c r="L19" s="114">
        <f t="shared" si="1"/>
        <v>0</v>
      </c>
      <c r="M19" s="200">
        <f t="shared" si="2"/>
        <v>0</v>
      </c>
    </row>
    <row r="20" spans="2:13" ht="15.6" x14ac:dyDescent="0.3">
      <c r="B20" s="43">
        <v>16</v>
      </c>
      <c r="C20" s="44">
        <v>0</v>
      </c>
      <c r="D20" s="44">
        <v>0</v>
      </c>
      <c r="E20" s="44">
        <v>0</v>
      </c>
      <c r="F20" s="44">
        <v>0</v>
      </c>
      <c r="G20" s="44">
        <v>0</v>
      </c>
      <c r="H20" s="44">
        <v>0</v>
      </c>
      <c r="I20" s="111">
        <f t="shared" si="0"/>
        <v>0</v>
      </c>
      <c r="J20" s="44">
        <v>0</v>
      </c>
      <c r="K20" s="44">
        <v>0</v>
      </c>
      <c r="L20" s="114">
        <f t="shared" si="1"/>
        <v>0</v>
      </c>
      <c r="M20" s="200">
        <f t="shared" si="2"/>
        <v>0</v>
      </c>
    </row>
    <row r="21" spans="2:13" ht="15.6" x14ac:dyDescent="0.3">
      <c r="B21" s="43">
        <v>17</v>
      </c>
      <c r="C21" s="44">
        <v>0</v>
      </c>
      <c r="D21" s="44">
        <v>0</v>
      </c>
      <c r="E21" s="44">
        <v>0</v>
      </c>
      <c r="F21" s="44">
        <v>0</v>
      </c>
      <c r="G21" s="44">
        <v>0</v>
      </c>
      <c r="H21" s="44">
        <v>0</v>
      </c>
      <c r="I21" s="111">
        <f t="shared" si="0"/>
        <v>0</v>
      </c>
      <c r="J21" s="44">
        <v>0</v>
      </c>
      <c r="K21" s="44">
        <v>0</v>
      </c>
      <c r="L21" s="114">
        <f t="shared" si="1"/>
        <v>0</v>
      </c>
      <c r="M21" s="200">
        <f t="shared" si="2"/>
        <v>0</v>
      </c>
    </row>
    <row r="22" spans="2:13" ht="15.6" x14ac:dyDescent="0.3">
      <c r="B22" s="43">
        <v>18</v>
      </c>
      <c r="C22" s="44">
        <v>0</v>
      </c>
      <c r="D22" s="44">
        <v>0</v>
      </c>
      <c r="E22" s="44">
        <v>0</v>
      </c>
      <c r="F22" s="44">
        <v>0</v>
      </c>
      <c r="G22" s="44">
        <v>0</v>
      </c>
      <c r="H22" s="44">
        <v>0</v>
      </c>
      <c r="I22" s="111">
        <f t="shared" si="0"/>
        <v>0</v>
      </c>
      <c r="J22" s="44">
        <v>0</v>
      </c>
      <c r="K22" s="44">
        <v>0</v>
      </c>
      <c r="L22" s="114">
        <f t="shared" si="1"/>
        <v>0</v>
      </c>
      <c r="M22" s="200">
        <f t="shared" si="2"/>
        <v>0</v>
      </c>
    </row>
    <row r="23" spans="2:13" ht="15.6" x14ac:dyDescent="0.3">
      <c r="B23" s="43">
        <v>19</v>
      </c>
      <c r="C23" s="44">
        <v>0</v>
      </c>
      <c r="D23" s="44">
        <v>0</v>
      </c>
      <c r="E23" s="44">
        <v>0</v>
      </c>
      <c r="F23" s="44">
        <v>0</v>
      </c>
      <c r="G23" s="44">
        <v>0</v>
      </c>
      <c r="H23" s="44">
        <v>0</v>
      </c>
      <c r="I23" s="111">
        <f t="shared" si="0"/>
        <v>0</v>
      </c>
      <c r="J23" s="44">
        <v>0</v>
      </c>
      <c r="K23" s="44">
        <v>0</v>
      </c>
      <c r="L23" s="114">
        <f t="shared" si="1"/>
        <v>0</v>
      </c>
      <c r="M23" s="200">
        <f t="shared" si="2"/>
        <v>0</v>
      </c>
    </row>
    <row r="24" spans="2:13" ht="15.6" x14ac:dyDescent="0.3">
      <c r="B24" s="43">
        <v>20</v>
      </c>
      <c r="C24" s="44">
        <v>0</v>
      </c>
      <c r="D24" s="44">
        <v>0</v>
      </c>
      <c r="E24" s="44">
        <v>0</v>
      </c>
      <c r="F24" s="44">
        <v>0</v>
      </c>
      <c r="G24" s="44">
        <v>0</v>
      </c>
      <c r="H24" s="44">
        <v>0</v>
      </c>
      <c r="I24" s="111">
        <f t="shared" si="0"/>
        <v>0</v>
      </c>
      <c r="J24" s="44">
        <v>0</v>
      </c>
      <c r="K24" s="44">
        <v>0</v>
      </c>
      <c r="L24" s="114">
        <f t="shared" si="1"/>
        <v>0</v>
      </c>
      <c r="M24" s="200">
        <f t="shared" si="2"/>
        <v>0</v>
      </c>
    </row>
    <row r="25" spans="2:13" ht="15.6" x14ac:dyDescent="0.3">
      <c r="B25" s="43">
        <v>21</v>
      </c>
      <c r="C25" s="44">
        <v>0</v>
      </c>
      <c r="D25" s="44">
        <v>0</v>
      </c>
      <c r="E25" s="44">
        <v>0</v>
      </c>
      <c r="F25" s="44">
        <v>0</v>
      </c>
      <c r="G25" s="44">
        <v>0</v>
      </c>
      <c r="H25" s="44">
        <v>0</v>
      </c>
      <c r="I25" s="111">
        <f t="shared" si="0"/>
        <v>0</v>
      </c>
      <c r="J25" s="44">
        <v>0</v>
      </c>
      <c r="K25" s="44">
        <v>0</v>
      </c>
      <c r="L25" s="114">
        <f t="shared" si="1"/>
        <v>0</v>
      </c>
      <c r="M25" s="200">
        <f t="shared" si="2"/>
        <v>0</v>
      </c>
    </row>
    <row r="26" spans="2:13" ht="15.6" x14ac:dyDescent="0.3">
      <c r="B26" s="43">
        <v>22</v>
      </c>
      <c r="C26" s="44">
        <v>0</v>
      </c>
      <c r="D26" s="44">
        <v>0</v>
      </c>
      <c r="E26" s="44">
        <v>0</v>
      </c>
      <c r="F26" s="44">
        <v>0</v>
      </c>
      <c r="G26" s="44">
        <v>0</v>
      </c>
      <c r="H26" s="44">
        <v>0</v>
      </c>
      <c r="I26" s="111">
        <f t="shared" si="0"/>
        <v>0</v>
      </c>
      <c r="J26" s="44">
        <v>0</v>
      </c>
      <c r="K26" s="44">
        <v>0</v>
      </c>
      <c r="L26" s="114">
        <f t="shared" si="1"/>
        <v>0</v>
      </c>
      <c r="M26" s="200">
        <f t="shared" si="2"/>
        <v>0</v>
      </c>
    </row>
    <row r="27" spans="2:13" ht="15.6" x14ac:dyDescent="0.3">
      <c r="B27" s="43">
        <v>23</v>
      </c>
      <c r="C27" s="44">
        <v>0</v>
      </c>
      <c r="D27" s="44">
        <v>0</v>
      </c>
      <c r="E27" s="44">
        <v>0</v>
      </c>
      <c r="F27" s="44">
        <v>0</v>
      </c>
      <c r="G27" s="44">
        <v>0</v>
      </c>
      <c r="H27" s="44">
        <v>0</v>
      </c>
      <c r="I27" s="111">
        <f t="shared" si="0"/>
        <v>0</v>
      </c>
      <c r="J27" s="44">
        <v>0</v>
      </c>
      <c r="K27" s="44">
        <v>0</v>
      </c>
      <c r="L27" s="114">
        <f t="shared" si="1"/>
        <v>0</v>
      </c>
      <c r="M27" s="200">
        <f t="shared" si="2"/>
        <v>0</v>
      </c>
    </row>
    <row r="28" spans="2:13" ht="15.6" x14ac:dyDescent="0.3">
      <c r="B28" s="43">
        <v>24</v>
      </c>
      <c r="C28" s="44">
        <v>0</v>
      </c>
      <c r="D28" s="44">
        <v>0</v>
      </c>
      <c r="E28" s="44">
        <v>0</v>
      </c>
      <c r="F28" s="44">
        <v>0</v>
      </c>
      <c r="G28" s="44">
        <v>0</v>
      </c>
      <c r="H28" s="44">
        <v>0</v>
      </c>
      <c r="I28" s="111">
        <f t="shared" si="0"/>
        <v>0</v>
      </c>
      <c r="J28" s="44">
        <v>0</v>
      </c>
      <c r="K28" s="44">
        <v>0</v>
      </c>
      <c r="L28" s="114">
        <f t="shared" si="1"/>
        <v>0</v>
      </c>
      <c r="M28" s="200">
        <f t="shared" si="2"/>
        <v>0</v>
      </c>
    </row>
    <row r="29" spans="2:13" ht="15.6" x14ac:dyDescent="0.3">
      <c r="B29" s="43">
        <v>25</v>
      </c>
      <c r="C29" s="44">
        <v>0</v>
      </c>
      <c r="D29" s="44">
        <v>0</v>
      </c>
      <c r="E29" s="44">
        <v>0</v>
      </c>
      <c r="F29" s="44">
        <v>0</v>
      </c>
      <c r="G29" s="44">
        <v>0</v>
      </c>
      <c r="H29" s="44">
        <v>0</v>
      </c>
      <c r="I29" s="111">
        <f t="shared" si="0"/>
        <v>0</v>
      </c>
      <c r="J29" s="44">
        <v>0</v>
      </c>
      <c r="K29" s="44">
        <v>0</v>
      </c>
      <c r="L29" s="114">
        <f t="shared" si="1"/>
        <v>0</v>
      </c>
      <c r="M29" s="200">
        <f t="shared" si="2"/>
        <v>0</v>
      </c>
    </row>
    <row r="30" spans="2:13" ht="15.6" x14ac:dyDescent="0.3">
      <c r="B30" s="43">
        <v>26</v>
      </c>
      <c r="C30" s="44">
        <v>0</v>
      </c>
      <c r="D30" s="44">
        <v>0</v>
      </c>
      <c r="E30" s="44">
        <v>0</v>
      </c>
      <c r="F30" s="44">
        <v>0</v>
      </c>
      <c r="G30" s="44">
        <v>0</v>
      </c>
      <c r="H30" s="44">
        <v>0</v>
      </c>
      <c r="I30" s="111">
        <f t="shared" si="0"/>
        <v>0</v>
      </c>
      <c r="J30" s="44">
        <v>0</v>
      </c>
      <c r="K30" s="44">
        <v>0</v>
      </c>
      <c r="L30" s="114">
        <f t="shared" si="1"/>
        <v>0</v>
      </c>
      <c r="M30" s="200">
        <f t="shared" si="2"/>
        <v>0</v>
      </c>
    </row>
    <row r="31" spans="2:13" ht="15.6" x14ac:dyDescent="0.3">
      <c r="B31" s="43">
        <v>27</v>
      </c>
      <c r="C31" s="44">
        <v>0</v>
      </c>
      <c r="D31" s="44">
        <v>0</v>
      </c>
      <c r="E31" s="44">
        <v>0</v>
      </c>
      <c r="F31" s="44">
        <v>0</v>
      </c>
      <c r="G31" s="44">
        <v>0</v>
      </c>
      <c r="H31" s="44">
        <v>0</v>
      </c>
      <c r="I31" s="111">
        <f t="shared" si="0"/>
        <v>0</v>
      </c>
      <c r="J31" s="44">
        <v>0</v>
      </c>
      <c r="K31" s="44">
        <v>0</v>
      </c>
      <c r="L31" s="114">
        <f t="shared" si="1"/>
        <v>0</v>
      </c>
      <c r="M31" s="200">
        <f t="shared" si="2"/>
        <v>0</v>
      </c>
    </row>
    <row r="32" spans="2:13" ht="15.6" x14ac:dyDescent="0.3">
      <c r="B32" s="43">
        <v>28</v>
      </c>
      <c r="C32" s="44">
        <v>0</v>
      </c>
      <c r="D32" s="44">
        <v>0</v>
      </c>
      <c r="E32" s="44">
        <v>0</v>
      </c>
      <c r="F32" s="44">
        <v>0</v>
      </c>
      <c r="G32" s="44">
        <v>0</v>
      </c>
      <c r="H32" s="44">
        <v>0</v>
      </c>
      <c r="I32" s="111">
        <f t="shared" si="0"/>
        <v>0</v>
      </c>
      <c r="J32" s="44">
        <v>0</v>
      </c>
      <c r="K32" s="44">
        <v>0</v>
      </c>
      <c r="L32" s="114">
        <f t="shared" si="1"/>
        <v>0</v>
      </c>
      <c r="M32" s="200">
        <f t="shared" si="2"/>
        <v>0</v>
      </c>
    </row>
    <row r="33" spans="2:13" ht="15.6" x14ac:dyDescent="0.3">
      <c r="B33" s="43">
        <v>29</v>
      </c>
      <c r="C33" s="44">
        <v>0</v>
      </c>
      <c r="D33" s="44">
        <v>0</v>
      </c>
      <c r="E33" s="44">
        <v>0</v>
      </c>
      <c r="F33" s="44">
        <v>0</v>
      </c>
      <c r="G33" s="44">
        <v>0</v>
      </c>
      <c r="H33" s="44">
        <v>0</v>
      </c>
      <c r="I33" s="111">
        <f t="shared" si="0"/>
        <v>0</v>
      </c>
      <c r="J33" s="44">
        <v>0</v>
      </c>
      <c r="K33" s="44">
        <v>0</v>
      </c>
      <c r="L33" s="114">
        <f t="shared" si="1"/>
        <v>0</v>
      </c>
      <c r="M33" s="200">
        <f t="shared" si="2"/>
        <v>0</v>
      </c>
    </row>
    <row r="34" spans="2:13" ht="15.6" x14ac:dyDescent="0.3">
      <c r="B34" s="43">
        <v>30</v>
      </c>
      <c r="C34" s="44">
        <v>0</v>
      </c>
      <c r="D34" s="44">
        <v>0</v>
      </c>
      <c r="E34" s="44">
        <v>0</v>
      </c>
      <c r="F34" s="44">
        <v>0</v>
      </c>
      <c r="G34" s="44">
        <v>0</v>
      </c>
      <c r="H34" s="44">
        <v>0</v>
      </c>
      <c r="I34" s="111">
        <f t="shared" si="0"/>
        <v>0</v>
      </c>
      <c r="J34" s="44">
        <v>0</v>
      </c>
      <c r="K34" s="44">
        <v>0</v>
      </c>
      <c r="L34" s="114">
        <f t="shared" si="1"/>
        <v>0</v>
      </c>
      <c r="M34" s="200">
        <f t="shared" si="2"/>
        <v>0</v>
      </c>
    </row>
    <row r="35" spans="2:13" ht="16.2" thickBot="1" x14ac:dyDescent="0.35">
      <c r="B35" s="45">
        <v>31</v>
      </c>
      <c r="C35" s="46">
        <v>0</v>
      </c>
      <c r="D35" s="46">
        <v>0</v>
      </c>
      <c r="E35" s="46">
        <v>0</v>
      </c>
      <c r="F35" s="46">
        <v>0</v>
      </c>
      <c r="G35" s="46">
        <v>0</v>
      </c>
      <c r="H35" s="46">
        <v>0</v>
      </c>
      <c r="I35" s="112">
        <f t="shared" si="0"/>
        <v>0</v>
      </c>
      <c r="J35" s="46">
        <v>0</v>
      </c>
      <c r="K35" s="46">
        <v>0</v>
      </c>
      <c r="L35" s="74">
        <f t="shared" si="1"/>
        <v>0</v>
      </c>
      <c r="M35" s="200">
        <f t="shared" si="2"/>
        <v>0</v>
      </c>
    </row>
    <row r="36" spans="2:13" ht="16.2" thickBot="1" x14ac:dyDescent="0.35">
      <c r="B36" s="48"/>
      <c r="C36" s="39">
        <f t="shared" ref="C36:H36" si="3">SUM(C5:C35)</f>
        <v>0</v>
      </c>
      <c r="D36" s="39">
        <f t="shared" si="3"/>
        <v>0</v>
      </c>
      <c r="E36" s="39">
        <f t="shared" si="3"/>
        <v>0</v>
      </c>
      <c r="F36" s="39">
        <f t="shared" si="3"/>
        <v>0</v>
      </c>
      <c r="G36" s="39">
        <f t="shared" si="3"/>
        <v>0</v>
      </c>
      <c r="H36" s="39">
        <f t="shared" si="3"/>
        <v>0</v>
      </c>
      <c r="I36" s="39">
        <f>SUM(I5:I35)</f>
        <v>0</v>
      </c>
      <c r="J36" s="39">
        <f>SUM(J5:J35)</f>
        <v>0</v>
      </c>
      <c r="K36" s="39">
        <f>SUM(K5:K35)</f>
        <v>0</v>
      </c>
      <c r="L36" s="113">
        <f>SUM(L5:L35)</f>
        <v>0</v>
      </c>
    </row>
    <row r="37" spans="2:13" ht="15.6" x14ac:dyDescent="0.3">
      <c r="B37" s="115"/>
      <c r="C37" s="116"/>
      <c r="D37" s="116"/>
      <c r="E37" s="116"/>
      <c r="F37" s="116"/>
      <c r="G37" s="116"/>
      <c r="H37" s="116"/>
      <c r="I37" s="116"/>
      <c r="J37" s="116"/>
      <c r="K37" s="116"/>
      <c r="L37" s="117"/>
    </row>
  </sheetData>
  <sheetProtection sheet="1" objects="1" scenarios="1" selectLockedCells="1"/>
  <customSheetViews>
    <customSheetView guid="{E9A9889A-61F5-47D0-A5C6-BF43493EDD61}" scale="85" showGridLines="0" showRowCol="0">
      <selection activeCell="C5" sqref="C5"/>
    </customSheetView>
    <customSheetView guid="{505FDB09-1B2F-4C19-8222-6158EDD21A0E}" scale="85" showGridLines="0" showRowCol="0">
      <selection activeCell="C5" sqref="C5"/>
    </customSheetView>
    <customSheetView guid="{7982FB7F-E997-4C70-8B2B-B628B46385D2}" scale="85" showGridLines="0" showRowCol="0">
      <selection activeCell="C5" sqref="C5"/>
    </customSheetView>
    <customSheetView guid="{9679493F-7CDF-46D6-BE72-B12FE11A478F}" scale="85" showGridLines="0" showRowCol="0">
      <selection activeCell="C5" sqref="C5"/>
    </customSheetView>
  </customSheetViews>
  <mergeCells count="2">
    <mergeCell ref="B2:L2"/>
    <mergeCell ref="B3:L3"/>
  </mergeCells>
  <phoneticPr fontId="5" type="noConversion"/>
  <conditionalFormatting sqref="M5:M35">
    <cfRule type="cellIs" dxfId="3" priority="1" operator="notEqual">
      <formula>0</formula>
    </cfRule>
  </conditionalFormatting>
  <printOptions gridLinesSet="0"/>
  <pageMargins left="0.28000000000000003" right="0.09" top="0.38" bottom="0.19" header="0.33" footer="0.14000000000000001"/>
  <pageSetup paperSize="9" orientation="portrait" horizontalDpi="300" r:id="rId1"/>
  <headerFooter alignWithMargins="0"/>
  <ignoredErrors>
    <ignoredError sqref="I5:I35" formulaRange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ommercialVehicles"/>
  <dimension ref="B1:I36"/>
  <sheetViews>
    <sheetView showGridLines="0" showRowColHeaders="0" topLeftCell="A7" zoomScale="70" zoomScaleNormal="70" workbookViewId="0">
      <selection activeCell="F16" sqref="F16"/>
    </sheetView>
  </sheetViews>
  <sheetFormatPr defaultColWidth="9.109375" defaultRowHeight="15" x14ac:dyDescent="0.25"/>
  <cols>
    <col min="1" max="1" width="9.109375" style="38"/>
    <col min="2" max="2" width="10.44140625" style="38" customWidth="1"/>
    <col min="3" max="3" width="12" style="49" customWidth="1"/>
    <col min="4" max="4" width="11.109375" style="49" customWidth="1"/>
    <col min="5" max="5" width="10.44140625" style="49" customWidth="1"/>
    <col min="6" max="6" width="11" style="49" customWidth="1"/>
    <col min="7" max="7" width="10.33203125" style="49" customWidth="1"/>
    <col min="8" max="8" width="10.5546875" style="49" customWidth="1"/>
    <col min="9" max="9" width="12.109375" style="49" customWidth="1"/>
    <col min="10" max="16384" width="9.109375" style="38"/>
  </cols>
  <sheetData>
    <row r="1" spans="2:9" ht="15.6" thickBot="1" x14ac:dyDescent="0.3"/>
    <row r="2" spans="2:9" ht="15.6" x14ac:dyDescent="0.25">
      <c r="B2" s="363" t="str">
        <f>"COMMERCIAL VEHICLES PASSING THROUGH " &amp; Location</f>
        <v>COMMERCIAL VEHICLES PASSING THROUGH OODLA WIRRA</v>
      </c>
      <c r="C2" s="364"/>
      <c r="D2" s="364"/>
      <c r="E2" s="364"/>
      <c r="F2" s="364"/>
      <c r="G2" s="364"/>
      <c r="H2" s="364"/>
      <c r="I2" s="365"/>
    </row>
    <row r="3" spans="2:9" ht="22.95" customHeight="1" thickBot="1" x14ac:dyDescent="0.3">
      <c r="B3" s="366" t="str">
        <f>Month &amp; " " &amp; Year</f>
        <v>November 2017</v>
      </c>
      <c r="C3" s="367"/>
      <c r="D3" s="367"/>
      <c r="E3" s="367"/>
      <c r="F3" s="367"/>
      <c r="G3" s="367"/>
      <c r="H3" s="367"/>
      <c r="I3" s="368"/>
    </row>
    <row r="4" spans="2:9" s="5" customFormat="1" ht="16.2" thickBot="1" x14ac:dyDescent="0.35">
      <c r="B4" s="39" t="s">
        <v>0</v>
      </c>
      <c r="C4" s="39" t="s">
        <v>1</v>
      </c>
      <c r="D4" s="39" t="s">
        <v>2</v>
      </c>
      <c r="E4" s="39" t="s">
        <v>3</v>
      </c>
      <c r="F4" s="39" t="s">
        <v>4</v>
      </c>
      <c r="G4" s="39" t="s">
        <v>5</v>
      </c>
      <c r="H4" s="39" t="s">
        <v>6</v>
      </c>
      <c r="I4" s="39" t="s">
        <v>7</v>
      </c>
    </row>
    <row r="5" spans="2:9" ht="15.6" x14ac:dyDescent="0.3">
      <c r="B5" s="40">
        <v>1</v>
      </c>
      <c r="C5" s="41">
        <v>0</v>
      </c>
      <c r="D5" s="41">
        <v>0</v>
      </c>
      <c r="E5" s="41">
        <v>0</v>
      </c>
      <c r="F5" s="41">
        <v>0</v>
      </c>
      <c r="G5" s="41">
        <v>0</v>
      </c>
      <c r="H5" s="41">
        <v>0</v>
      </c>
      <c r="I5" s="42">
        <f>SUM(C5:H5)</f>
        <v>0</v>
      </c>
    </row>
    <row r="6" spans="2:9" ht="15.6" x14ac:dyDescent="0.3">
      <c r="B6" s="43">
        <v>2</v>
      </c>
      <c r="C6" s="44">
        <v>0</v>
      </c>
      <c r="D6" s="44">
        <v>0</v>
      </c>
      <c r="E6" s="44">
        <v>0</v>
      </c>
      <c r="F6" s="44">
        <v>0</v>
      </c>
      <c r="G6" s="44">
        <v>0</v>
      </c>
      <c r="H6" s="44">
        <v>0</v>
      </c>
      <c r="I6" s="37">
        <f t="shared" ref="I6:I21" si="0">SUM(C6:H6)</f>
        <v>0</v>
      </c>
    </row>
    <row r="7" spans="2:9" ht="15.6" x14ac:dyDescent="0.3">
      <c r="B7" s="43">
        <v>3</v>
      </c>
      <c r="C7" s="44">
        <v>0</v>
      </c>
      <c r="D7" s="44">
        <v>0</v>
      </c>
      <c r="E7" s="44">
        <v>0</v>
      </c>
      <c r="F7" s="44">
        <v>0</v>
      </c>
      <c r="G7" s="44">
        <v>0</v>
      </c>
      <c r="H7" s="44">
        <v>0</v>
      </c>
      <c r="I7" s="37">
        <f t="shared" si="0"/>
        <v>0</v>
      </c>
    </row>
    <row r="8" spans="2:9" ht="15.6" x14ac:dyDescent="0.3">
      <c r="B8" s="43">
        <v>4</v>
      </c>
      <c r="C8" s="44">
        <v>0</v>
      </c>
      <c r="D8" s="44">
        <v>0</v>
      </c>
      <c r="E8" s="44">
        <v>0</v>
      </c>
      <c r="F8" s="44">
        <v>0</v>
      </c>
      <c r="G8" s="44">
        <v>0</v>
      </c>
      <c r="H8" s="44">
        <v>0</v>
      </c>
      <c r="I8" s="37">
        <f t="shared" si="0"/>
        <v>0</v>
      </c>
    </row>
    <row r="9" spans="2:9" ht="15.6" x14ac:dyDescent="0.3">
      <c r="B9" s="43">
        <v>5</v>
      </c>
      <c r="C9" s="44">
        <v>0</v>
      </c>
      <c r="D9" s="44">
        <v>0</v>
      </c>
      <c r="E9" s="44">
        <v>0</v>
      </c>
      <c r="F9" s="44">
        <v>0</v>
      </c>
      <c r="G9" s="44">
        <v>0</v>
      </c>
      <c r="H9" s="44">
        <v>0</v>
      </c>
      <c r="I9" s="37">
        <f t="shared" si="0"/>
        <v>0</v>
      </c>
    </row>
    <row r="10" spans="2:9" ht="15.6" x14ac:dyDescent="0.3">
      <c r="B10" s="43">
        <v>6</v>
      </c>
      <c r="C10" s="44">
        <v>0</v>
      </c>
      <c r="D10" s="44">
        <v>0</v>
      </c>
      <c r="E10" s="44">
        <v>0</v>
      </c>
      <c r="F10" s="44">
        <v>0</v>
      </c>
      <c r="G10" s="44">
        <v>0</v>
      </c>
      <c r="H10" s="44">
        <v>0</v>
      </c>
      <c r="I10" s="37">
        <f t="shared" si="0"/>
        <v>0</v>
      </c>
    </row>
    <row r="11" spans="2:9" ht="15.6" x14ac:dyDescent="0.3">
      <c r="B11" s="43">
        <v>7</v>
      </c>
      <c r="C11" s="44">
        <v>0</v>
      </c>
      <c r="D11" s="44">
        <v>0</v>
      </c>
      <c r="E11" s="44">
        <v>0</v>
      </c>
      <c r="F11" s="44">
        <v>0</v>
      </c>
      <c r="G11" s="44">
        <v>0</v>
      </c>
      <c r="H11" s="44">
        <v>0</v>
      </c>
      <c r="I11" s="37">
        <f t="shared" si="0"/>
        <v>0</v>
      </c>
    </row>
    <row r="12" spans="2:9" ht="15.6" x14ac:dyDescent="0.3">
      <c r="B12" s="43">
        <v>8</v>
      </c>
      <c r="C12" s="44">
        <v>0</v>
      </c>
      <c r="D12" s="44">
        <v>0</v>
      </c>
      <c r="E12" s="44">
        <v>0</v>
      </c>
      <c r="F12" s="44">
        <v>0</v>
      </c>
      <c r="G12" s="44">
        <v>0</v>
      </c>
      <c r="H12" s="44">
        <v>0</v>
      </c>
      <c r="I12" s="37">
        <f t="shared" si="0"/>
        <v>0</v>
      </c>
    </row>
    <row r="13" spans="2:9" ht="15.6" x14ac:dyDescent="0.3">
      <c r="B13" s="43">
        <v>9</v>
      </c>
      <c r="C13" s="44">
        <v>0</v>
      </c>
      <c r="D13" s="44">
        <v>0</v>
      </c>
      <c r="E13" s="44">
        <v>0</v>
      </c>
      <c r="F13" s="44">
        <v>0</v>
      </c>
      <c r="G13" s="44">
        <v>0</v>
      </c>
      <c r="H13" s="44">
        <v>0</v>
      </c>
      <c r="I13" s="37">
        <f t="shared" si="0"/>
        <v>0</v>
      </c>
    </row>
    <row r="14" spans="2:9" ht="15.6" x14ac:dyDescent="0.3">
      <c r="B14" s="43">
        <v>10</v>
      </c>
      <c r="C14" s="44">
        <v>0</v>
      </c>
      <c r="D14" s="44">
        <v>0</v>
      </c>
      <c r="E14" s="44">
        <v>0</v>
      </c>
      <c r="F14" s="44">
        <v>0</v>
      </c>
      <c r="G14" s="44">
        <v>0</v>
      </c>
      <c r="H14" s="44">
        <v>0</v>
      </c>
      <c r="I14" s="37">
        <f t="shared" si="0"/>
        <v>0</v>
      </c>
    </row>
    <row r="15" spans="2:9" ht="15.6" x14ac:dyDescent="0.3">
      <c r="B15" s="43">
        <v>11</v>
      </c>
      <c r="C15" s="44">
        <v>0</v>
      </c>
      <c r="D15" s="44">
        <v>0</v>
      </c>
      <c r="E15" s="44">
        <v>0</v>
      </c>
      <c r="F15" s="44">
        <v>0</v>
      </c>
      <c r="G15" s="44">
        <v>0</v>
      </c>
      <c r="H15" s="44">
        <v>0</v>
      </c>
      <c r="I15" s="37">
        <f t="shared" si="0"/>
        <v>0</v>
      </c>
    </row>
    <row r="16" spans="2:9" ht="15.6" x14ac:dyDescent="0.3">
      <c r="B16" s="43">
        <v>12</v>
      </c>
      <c r="C16" s="44">
        <v>0</v>
      </c>
      <c r="D16" s="44">
        <v>0</v>
      </c>
      <c r="E16" s="44">
        <v>0</v>
      </c>
      <c r="F16" s="44">
        <v>0</v>
      </c>
      <c r="G16" s="44">
        <v>0</v>
      </c>
      <c r="H16" s="44">
        <v>0</v>
      </c>
      <c r="I16" s="37">
        <f t="shared" si="0"/>
        <v>0</v>
      </c>
    </row>
    <row r="17" spans="2:9" ht="15.6" x14ac:dyDescent="0.3">
      <c r="B17" s="43">
        <v>13</v>
      </c>
      <c r="C17" s="44">
        <v>0</v>
      </c>
      <c r="D17" s="44">
        <v>0</v>
      </c>
      <c r="E17" s="44">
        <v>0</v>
      </c>
      <c r="F17" s="44">
        <v>0</v>
      </c>
      <c r="G17" s="44">
        <v>0</v>
      </c>
      <c r="H17" s="44">
        <v>0</v>
      </c>
      <c r="I17" s="37">
        <f>SUM(C17:H17)</f>
        <v>0</v>
      </c>
    </row>
    <row r="18" spans="2:9" ht="15.6" x14ac:dyDescent="0.3">
      <c r="B18" s="43">
        <v>14</v>
      </c>
      <c r="C18" s="44">
        <v>0</v>
      </c>
      <c r="D18" s="44">
        <v>0</v>
      </c>
      <c r="E18" s="44">
        <v>0</v>
      </c>
      <c r="F18" s="44">
        <v>0</v>
      </c>
      <c r="G18" s="44">
        <v>0</v>
      </c>
      <c r="H18" s="44">
        <v>0</v>
      </c>
      <c r="I18" s="37">
        <f t="shared" si="0"/>
        <v>0</v>
      </c>
    </row>
    <row r="19" spans="2:9" ht="15.6" x14ac:dyDescent="0.3">
      <c r="B19" s="43">
        <v>15</v>
      </c>
      <c r="C19" s="44">
        <v>0</v>
      </c>
      <c r="D19" s="44">
        <v>0</v>
      </c>
      <c r="E19" s="44">
        <v>0</v>
      </c>
      <c r="F19" s="44">
        <v>0</v>
      </c>
      <c r="G19" s="44">
        <v>0</v>
      </c>
      <c r="H19" s="44">
        <v>0</v>
      </c>
      <c r="I19" s="37">
        <f t="shared" si="0"/>
        <v>0</v>
      </c>
    </row>
    <row r="20" spans="2:9" ht="15.6" x14ac:dyDescent="0.3">
      <c r="B20" s="43">
        <v>16</v>
      </c>
      <c r="C20" s="44">
        <v>0</v>
      </c>
      <c r="D20" s="44">
        <v>0</v>
      </c>
      <c r="E20" s="44">
        <v>0</v>
      </c>
      <c r="F20" s="44">
        <v>0</v>
      </c>
      <c r="G20" s="44">
        <v>0</v>
      </c>
      <c r="H20" s="44">
        <v>0</v>
      </c>
      <c r="I20" s="37">
        <f t="shared" si="0"/>
        <v>0</v>
      </c>
    </row>
    <row r="21" spans="2:9" ht="15.6" x14ac:dyDescent="0.3">
      <c r="B21" s="43">
        <v>17</v>
      </c>
      <c r="C21" s="44">
        <v>0</v>
      </c>
      <c r="D21" s="44">
        <v>0</v>
      </c>
      <c r="E21" s="44">
        <v>0</v>
      </c>
      <c r="F21" s="44">
        <v>0</v>
      </c>
      <c r="G21" s="44">
        <v>0</v>
      </c>
      <c r="H21" s="44">
        <v>0</v>
      </c>
      <c r="I21" s="37">
        <f t="shared" si="0"/>
        <v>0</v>
      </c>
    </row>
    <row r="22" spans="2:9" ht="15.6" x14ac:dyDescent="0.3">
      <c r="B22" s="43">
        <v>18</v>
      </c>
      <c r="C22" s="44">
        <v>0</v>
      </c>
      <c r="D22" s="44">
        <v>0</v>
      </c>
      <c r="E22" s="44">
        <v>0</v>
      </c>
      <c r="F22" s="44">
        <v>0</v>
      </c>
      <c r="G22" s="44">
        <v>0</v>
      </c>
      <c r="H22" s="44">
        <v>0</v>
      </c>
      <c r="I22" s="37">
        <f t="shared" ref="I22:I35" si="1">SUM(C22:H22)</f>
        <v>0</v>
      </c>
    </row>
    <row r="23" spans="2:9" ht="15.6" x14ac:dyDescent="0.3">
      <c r="B23" s="43">
        <v>19</v>
      </c>
      <c r="C23" s="44">
        <v>0</v>
      </c>
      <c r="D23" s="44">
        <v>0</v>
      </c>
      <c r="E23" s="44">
        <v>0</v>
      </c>
      <c r="F23" s="44">
        <v>0</v>
      </c>
      <c r="G23" s="44">
        <v>0</v>
      </c>
      <c r="H23" s="44">
        <v>0</v>
      </c>
      <c r="I23" s="37">
        <f t="shared" si="1"/>
        <v>0</v>
      </c>
    </row>
    <row r="24" spans="2:9" ht="15.6" x14ac:dyDescent="0.3">
      <c r="B24" s="43">
        <v>20</v>
      </c>
      <c r="C24" s="44">
        <v>0</v>
      </c>
      <c r="D24" s="44">
        <v>0</v>
      </c>
      <c r="E24" s="44">
        <v>0</v>
      </c>
      <c r="F24" s="44">
        <v>0</v>
      </c>
      <c r="G24" s="44">
        <v>0</v>
      </c>
      <c r="H24" s="44">
        <v>0</v>
      </c>
      <c r="I24" s="37">
        <f t="shared" si="1"/>
        <v>0</v>
      </c>
    </row>
    <row r="25" spans="2:9" ht="15.6" x14ac:dyDescent="0.3">
      <c r="B25" s="43">
        <v>21</v>
      </c>
      <c r="C25" s="44">
        <v>0</v>
      </c>
      <c r="D25" s="44">
        <v>0</v>
      </c>
      <c r="E25" s="44">
        <v>0</v>
      </c>
      <c r="F25" s="44">
        <v>0</v>
      </c>
      <c r="G25" s="44">
        <v>0</v>
      </c>
      <c r="H25" s="44">
        <v>0</v>
      </c>
      <c r="I25" s="37">
        <f t="shared" si="1"/>
        <v>0</v>
      </c>
    </row>
    <row r="26" spans="2:9" ht="15.6" x14ac:dyDescent="0.3">
      <c r="B26" s="43">
        <v>22</v>
      </c>
      <c r="C26" s="44">
        <v>0</v>
      </c>
      <c r="D26" s="44">
        <v>0</v>
      </c>
      <c r="E26" s="44">
        <v>0</v>
      </c>
      <c r="F26" s="44">
        <v>0</v>
      </c>
      <c r="G26" s="44">
        <v>0</v>
      </c>
      <c r="H26" s="44">
        <v>0</v>
      </c>
      <c r="I26" s="37">
        <f t="shared" si="1"/>
        <v>0</v>
      </c>
    </row>
    <row r="27" spans="2:9" ht="15.6" x14ac:dyDescent="0.3">
      <c r="B27" s="43">
        <v>23</v>
      </c>
      <c r="C27" s="44">
        <v>0</v>
      </c>
      <c r="D27" s="44">
        <v>0</v>
      </c>
      <c r="E27" s="44">
        <v>0</v>
      </c>
      <c r="F27" s="44">
        <v>0</v>
      </c>
      <c r="G27" s="44">
        <v>0</v>
      </c>
      <c r="H27" s="44">
        <v>0</v>
      </c>
      <c r="I27" s="37">
        <f t="shared" si="1"/>
        <v>0</v>
      </c>
    </row>
    <row r="28" spans="2:9" ht="15.6" x14ac:dyDescent="0.3">
      <c r="B28" s="43">
        <v>24</v>
      </c>
      <c r="C28" s="44">
        <v>0</v>
      </c>
      <c r="D28" s="44">
        <v>0</v>
      </c>
      <c r="E28" s="44">
        <v>0</v>
      </c>
      <c r="F28" s="44">
        <v>0</v>
      </c>
      <c r="G28" s="44">
        <v>0</v>
      </c>
      <c r="H28" s="44">
        <v>0</v>
      </c>
      <c r="I28" s="37">
        <f t="shared" si="1"/>
        <v>0</v>
      </c>
    </row>
    <row r="29" spans="2:9" ht="15.6" x14ac:dyDescent="0.3">
      <c r="B29" s="43">
        <v>25</v>
      </c>
      <c r="C29" s="44">
        <v>0</v>
      </c>
      <c r="D29" s="44">
        <v>0</v>
      </c>
      <c r="E29" s="44">
        <v>0</v>
      </c>
      <c r="F29" s="44">
        <v>0</v>
      </c>
      <c r="G29" s="44">
        <v>0</v>
      </c>
      <c r="H29" s="44">
        <v>0</v>
      </c>
      <c r="I29" s="37">
        <f t="shared" si="1"/>
        <v>0</v>
      </c>
    </row>
    <row r="30" spans="2:9" ht="15.6" x14ac:dyDescent="0.3">
      <c r="B30" s="43">
        <v>26</v>
      </c>
      <c r="C30" s="44">
        <v>0</v>
      </c>
      <c r="D30" s="44">
        <v>0</v>
      </c>
      <c r="E30" s="44">
        <v>0</v>
      </c>
      <c r="F30" s="44">
        <v>0</v>
      </c>
      <c r="G30" s="44">
        <v>0</v>
      </c>
      <c r="H30" s="44">
        <v>0</v>
      </c>
      <c r="I30" s="37">
        <f t="shared" si="1"/>
        <v>0</v>
      </c>
    </row>
    <row r="31" spans="2:9" ht="15.6" x14ac:dyDescent="0.3">
      <c r="B31" s="43">
        <v>27</v>
      </c>
      <c r="C31" s="44">
        <v>0</v>
      </c>
      <c r="D31" s="44">
        <v>0</v>
      </c>
      <c r="E31" s="44">
        <v>0</v>
      </c>
      <c r="F31" s="44">
        <v>0</v>
      </c>
      <c r="G31" s="44">
        <v>0</v>
      </c>
      <c r="H31" s="44">
        <v>0</v>
      </c>
      <c r="I31" s="37">
        <f t="shared" si="1"/>
        <v>0</v>
      </c>
    </row>
    <row r="32" spans="2:9" ht="15.6" x14ac:dyDescent="0.3">
      <c r="B32" s="43">
        <v>28</v>
      </c>
      <c r="C32" s="44">
        <v>0</v>
      </c>
      <c r="D32" s="44">
        <v>0</v>
      </c>
      <c r="E32" s="44">
        <v>0</v>
      </c>
      <c r="F32" s="44">
        <v>0</v>
      </c>
      <c r="G32" s="44">
        <v>0</v>
      </c>
      <c r="H32" s="44">
        <v>0</v>
      </c>
      <c r="I32" s="37">
        <f t="shared" si="1"/>
        <v>0</v>
      </c>
    </row>
    <row r="33" spans="2:9" ht="15.6" x14ac:dyDescent="0.3">
      <c r="B33" s="43">
        <v>29</v>
      </c>
      <c r="C33" s="44">
        <v>0</v>
      </c>
      <c r="D33" s="44">
        <v>0</v>
      </c>
      <c r="E33" s="44">
        <v>0</v>
      </c>
      <c r="F33" s="44">
        <v>0</v>
      </c>
      <c r="G33" s="44">
        <v>0</v>
      </c>
      <c r="H33" s="44">
        <v>0</v>
      </c>
      <c r="I33" s="37">
        <f t="shared" si="1"/>
        <v>0</v>
      </c>
    </row>
    <row r="34" spans="2:9" ht="15.6" x14ac:dyDescent="0.3">
      <c r="B34" s="43">
        <v>30</v>
      </c>
      <c r="C34" s="44">
        <v>0</v>
      </c>
      <c r="D34" s="44">
        <v>0</v>
      </c>
      <c r="E34" s="44">
        <v>0</v>
      </c>
      <c r="F34" s="44">
        <v>0</v>
      </c>
      <c r="G34" s="44">
        <v>0</v>
      </c>
      <c r="H34" s="44">
        <v>0</v>
      </c>
      <c r="I34" s="37">
        <f>SUM(C34:H34)</f>
        <v>0</v>
      </c>
    </row>
    <row r="35" spans="2:9" ht="16.2" thickBot="1" x14ac:dyDescent="0.35">
      <c r="B35" s="45">
        <v>31</v>
      </c>
      <c r="C35" s="46">
        <v>0</v>
      </c>
      <c r="D35" s="46">
        <v>0</v>
      </c>
      <c r="E35" s="46">
        <v>0</v>
      </c>
      <c r="F35" s="46">
        <v>0</v>
      </c>
      <c r="G35" s="46">
        <v>0</v>
      </c>
      <c r="H35" s="46">
        <v>0</v>
      </c>
      <c r="I35" s="47">
        <f t="shared" si="1"/>
        <v>0</v>
      </c>
    </row>
    <row r="36" spans="2:9" ht="16.2" thickBot="1" x14ac:dyDescent="0.35">
      <c r="B36" s="48"/>
      <c r="C36" s="39">
        <f>SUM(C5:C35)</f>
        <v>0</v>
      </c>
      <c r="D36" s="39">
        <f t="shared" ref="D36:H36" si="2">SUM(D5:D35)</f>
        <v>0</v>
      </c>
      <c r="E36" s="39">
        <f t="shared" si="2"/>
        <v>0</v>
      </c>
      <c r="F36" s="39">
        <f t="shared" si="2"/>
        <v>0</v>
      </c>
      <c r="G36" s="39">
        <f t="shared" si="2"/>
        <v>0</v>
      </c>
      <c r="H36" s="39">
        <f t="shared" si="2"/>
        <v>0</v>
      </c>
      <c r="I36" s="39">
        <f>SUM(I5:I35)</f>
        <v>0</v>
      </c>
    </row>
  </sheetData>
  <sheetProtection sheet="1" objects="1" scenarios="1" selectLockedCells="1"/>
  <customSheetViews>
    <customSheetView guid="{E9A9889A-61F5-47D0-A5C6-BF43493EDD61}" scale="70" showGridLines="0" showRowCol="0">
      <selection activeCell="C5" sqref="C5"/>
    </customSheetView>
    <customSheetView guid="{505FDB09-1B2F-4C19-8222-6158EDD21A0E}" scale="70" showGridLines="0" showRowCol="0">
      <selection activeCell="C5" sqref="C5"/>
    </customSheetView>
    <customSheetView guid="{7982FB7F-E997-4C70-8B2B-B628B46385D2}" scale="70" showGridLines="0" showRowCol="0">
      <selection activeCell="C5" sqref="C5"/>
    </customSheetView>
    <customSheetView guid="{9679493F-7CDF-46D6-BE72-B12FE11A478F}" scale="70" showGridLines="0" showRowCol="0">
      <selection activeCell="C5" sqref="C5"/>
    </customSheetView>
  </customSheetViews>
  <mergeCells count="2">
    <mergeCell ref="B2:I2"/>
    <mergeCell ref="B3:I3"/>
  </mergeCells>
  <phoneticPr fontId="5" type="noConversion"/>
  <printOptions gridLinesSet="0"/>
  <pageMargins left="0.79" right="0.22" top="0.46" bottom="0.28000000000000003" header="0.57999999999999996" footer="0.12"/>
  <pageSetup paperSize="9" orientation="portrait" horizont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ars"/>
  <dimension ref="B1:I59"/>
  <sheetViews>
    <sheetView showGridLines="0" showRowColHeaders="0" topLeftCell="A25" zoomScaleNormal="85" workbookViewId="0">
      <selection activeCell="F20" sqref="F20"/>
    </sheetView>
  </sheetViews>
  <sheetFormatPr defaultRowHeight="13.2" x14ac:dyDescent="0.25"/>
  <cols>
    <col min="2" max="2" width="8.33203125" customWidth="1"/>
    <col min="3" max="7" width="8.33203125" style="6" customWidth="1"/>
    <col min="8" max="8" width="11.6640625" style="6" customWidth="1"/>
    <col min="9" max="9" width="12.6640625" style="6" customWidth="1"/>
  </cols>
  <sheetData>
    <row r="1" spans="2:9" ht="13.8" thickBot="1" x14ac:dyDescent="0.3"/>
    <row r="2" spans="2:9" ht="15.6" x14ac:dyDescent="0.3">
      <c r="B2" s="369" t="str">
        <f xml:space="preserve"> "CARS PASSING THROUGH " &amp; Location</f>
        <v>CARS PASSING THROUGH OODLA WIRRA</v>
      </c>
      <c r="C2" s="370"/>
      <c r="D2" s="370"/>
      <c r="E2" s="370"/>
      <c r="F2" s="370"/>
      <c r="G2" s="370"/>
      <c r="H2" s="370"/>
      <c r="I2" s="371"/>
    </row>
    <row r="3" spans="2:9" ht="18" thickBot="1" x14ac:dyDescent="0.3">
      <c r="B3" s="372" t="str">
        <f>Month &amp; " " &amp; Year</f>
        <v>November 2017</v>
      </c>
      <c r="C3" s="373"/>
      <c r="D3" s="373"/>
      <c r="E3" s="373"/>
      <c r="F3" s="373"/>
      <c r="G3" s="373"/>
      <c r="H3" s="373"/>
      <c r="I3" s="374"/>
    </row>
    <row r="4" spans="2:9" s="22" customFormat="1" ht="24.6" thickBot="1" x14ac:dyDescent="0.3">
      <c r="B4" s="23" t="s">
        <v>0</v>
      </c>
      <c r="C4" s="23" t="s">
        <v>1</v>
      </c>
      <c r="D4" s="23" t="s">
        <v>2</v>
      </c>
      <c r="E4" s="23" t="s">
        <v>3</v>
      </c>
      <c r="F4" s="23" t="s">
        <v>4</v>
      </c>
      <c r="G4" s="23" t="s">
        <v>5</v>
      </c>
      <c r="H4" s="23" t="s">
        <v>6</v>
      </c>
      <c r="I4" s="23" t="s">
        <v>8</v>
      </c>
    </row>
    <row r="5" spans="2:9" x14ac:dyDescent="0.25">
      <c r="B5" s="24">
        <v>1</v>
      </c>
      <c r="C5" s="34">
        <v>0</v>
      </c>
      <c r="D5" s="34">
        <v>0</v>
      </c>
      <c r="E5" s="34">
        <v>0</v>
      </c>
      <c r="F5" s="34">
        <v>0</v>
      </c>
      <c r="G5" s="34">
        <v>0</v>
      </c>
      <c r="H5" s="34">
        <v>0</v>
      </c>
      <c r="I5" s="25">
        <f t="shared" ref="I5:I20" si="0">SUM(C5:H5)</f>
        <v>0</v>
      </c>
    </row>
    <row r="6" spans="2:9" x14ac:dyDescent="0.25">
      <c r="B6" s="26">
        <v>2</v>
      </c>
      <c r="C6" s="35">
        <v>0</v>
      </c>
      <c r="D6" s="35">
        <v>0</v>
      </c>
      <c r="E6" s="35">
        <v>0</v>
      </c>
      <c r="F6" s="35">
        <v>0</v>
      </c>
      <c r="G6" s="35">
        <v>0</v>
      </c>
      <c r="H6" s="35">
        <v>0</v>
      </c>
      <c r="I6" s="27">
        <f t="shared" si="0"/>
        <v>0</v>
      </c>
    </row>
    <row r="7" spans="2:9" x14ac:dyDescent="0.25">
      <c r="B7" s="26">
        <v>3</v>
      </c>
      <c r="C7" s="35">
        <v>0</v>
      </c>
      <c r="D7" s="35">
        <v>0</v>
      </c>
      <c r="E7" s="35">
        <v>0</v>
      </c>
      <c r="F7" s="35">
        <v>0</v>
      </c>
      <c r="G7" s="35">
        <v>0</v>
      </c>
      <c r="H7" s="35">
        <v>0</v>
      </c>
      <c r="I7" s="27">
        <f t="shared" si="0"/>
        <v>0</v>
      </c>
    </row>
    <row r="8" spans="2:9" x14ac:dyDescent="0.25">
      <c r="B8" s="26">
        <v>4</v>
      </c>
      <c r="C8" s="35">
        <v>0</v>
      </c>
      <c r="D8" s="35">
        <v>0</v>
      </c>
      <c r="E8" s="35">
        <v>0</v>
      </c>
      <c r="F8" s="35">
        <v>0</v>
      </c>
      <c r="G8" s="35">
        <v>0</v>
      </c>
      <c r="H8" s="35">
        <v>0</v>
      </c>
      <c r="I8" s="27">
        <f t="shared" si="0"/>
        <v>0</v>
      </c>
    </row>
    <row r="9" spans="2:9" x14ac:dyDescent="0.25">
      <c r="B9" s="26">
        <v>5</v>
      </c>
      <c r="C9" s="35">
        <v>0</v>
      </c>
      <c r="D9" s="35">
        <v>0</v>
      </c>
      <c r="E9" s="35">
        <v>0</v>
      </c>
      <c r="F9" s="35">
        <v>0</v>
      </c>
      <c r="G9" s="35">
        <v>0</v>
      </c>
      <c r="H9" s="35">
        <v>0</v>
      </c>
      <c r="I9" s="27">
        <f t="shared" si="0"/>
        <v>0</v>
      </c>
    </row>
    <row r="10" spans="2:9" x14ac:dyDescent="0.25">
      <c r="B10" s="26">
        <v>6</v>
      </c>
      <c r="C10" s="35">
        <v>0</v>
      </c>
      <c r="D10" s="35">
        <v>0</v>
      </c>
      <c r="E10" s="35">
        <v>0</v>
      </c>
      <c r="F10" s="35">
        <v>0</v>
      </c>
      <c r="G10" s="35">
        <v>0</v>
      </c>
      <c r="H10" s="35">
        <v>0</v>
      </c>
      <c r="I10" s="27">
        <f t="shared" si="0"/>
        <v>0</v>
      </c>
    </row>
    <row r="11" spans="2:9" x14ac:dyDescent="0.25">
      <c r="B11" s="26">
        <v>7</v>
      </c>
      <c r="C11" s="35">
        <v>0</v>
      </c>
      <c r="D11" s="35">
        <v>0</v>
      </c>
      <c r="E11" s="35">
        <v>0</v>
      </c>
      <c r="F11" s="35">
        <v>0</v>
      </c>
      <c r="G11" s="35">
        <v>0</v>
      </c>
      <c r="H11" s="35">
        <v>0</v>
      </c>
      <c r="I11" s="27">
        <f t="shared" si="0"/>
        <v>0</v>
      </c>
    </row>
    <row r="12" spans="2:9" x14ac:dyDescent="0.25">
      <c r="B12" s="26">
        <v>8</v>
      </c>
      <c r="C12" s="35">
        <v>0</v>
      </c>
      <c r="D12" s="35">
        <v>0</v>
      </c>
      <c r="E12" s="35">
        <v>0</v>
      </c>
      <c r="F12" s="35">
        <v>0</v>
      </c>
      <c r="G12" s="35">
        <v>0</v>
      </c>
      <c r="H12" s="35">
        <v>0</v>
      </c>
      <c r="I12" s="27">
        <f t="shared" si="0"/>
        <v>0</v>
      </c>
    </row>
    <row r="13" spans="2:9" x14ac:dyDescent="0.25">
      <c r="B13" s="26">
        <v>9</v>
      </c>
      <c r="C13" s="35">
        <v>0</v>
      </c>
      <c r="D13" s="35">
        <v>0</v>
      </c>
      <c r="E13" s="35">
        <v>0</v>
      </c>
      <c r="F13" s="35">
        <v>0</v>
      </c>
      <c r="G13" s="35">
        <v>0</v>
      </c>
      <c r="H13" s="35">
        <v>0</v>
      </c>
      <c r="I13" s="27">
        <f t="shared" si="0"/>
        <v>0</v>
      </c>
    </row>
    <row r="14" spans="2:9" x14ac:dyDescent="0.25">
      <c r="B14" s="26">
        <v>10</v>
      </c>
      <c r="C14" s="35">
        <v>0</v>
      </c>
      <c r="D14" s="35">
        <v>0</v>
      </c>
      <c r="E14" s="35">
        <v>0</v>
      </c>
      <c r="F14" s="35">
        <v>0</v>
      </c>
      <c r="G14" s="35">
        <v>0</v>
      </c>
      <c r="H14" s="35">
        <v>0</v>
      </c>
      <c r="I14" s="27">
        <f t="shared" si="0"/>
        <v>0</v>
      </c>
    </row>
    <row r="15" spans="2:9" x14ac:dyDescent="0.25">
      <c r="B15" s="26">
        <v>11</v>
      </c>
      <c r="C15" s="35">
        <v>0</v>
      </c>
      <c r="D15" s="35">
        <v>0</v>
      </c>
      <c r="E15" s="35">
        <v>0</v>
      </c>
      <c r="F15" s="35">
        <v>0</v>
      </c>
      <c r="G15" s="35">
        <v>0</v>
      </c>
      <c r="H15" s="35">
        <v>0</v>
      </c>
      <c r="I15" s="27">
        <f t="shared" si="0"/>
        <v>0</v>
      </c>
    </row>
    <row r="16" spans="2:9" x14ac:dyDescent="0.25">
      <c r="B16" s="26">
        <v>12</v>
      </c>
      <c r="C16" s="35">
        <v>0</v>
      </c>
      <c r="D16" s="35">
        <v>0</v>
      </c>
      <c r="E16" s="35">
        <v>0</v>
      </c>
      <c r="F16" s="35">
        <v>0</v>
      </c>
      <c r="G16" s="35">
        <v>0</v>
      </c>
      <c r="H16" s="35">
        <v>0</v>
      </c>
      <c r="I16" s="27">
        <f t="shared" si="0"/>
        <v>0</v>
      </c>
    </row>
    <row r="17" spans="2:9" x14ac:dyDescent="0.25">
      <c r="B17" s="26">
        <v>13</v>
      </c>
      <c r="C17" s="35">
        <v>0</v>
      </c>
      <c r="D17" s="35">
        <v>0</v>
      </c>
      <c r="E17" s="35">
        <v>0</v>
      </c>
      <c r="F17" s="35">
        <v>0</v>
      </c>
      <c r="G17" s="35">
        <v>0</v>
      </c>
      <c r="H17" s="35">
        <v>0</v>
      </c>
      <c r="I17" s="27">
        <f t="shared" si="0"/>
        <v>0</v>
      </c>
    </row>
    <row r="18" spans="2:9" x14ac:dyDescent="0.25">
      <c r="B18" s="26">
        <v>14</v>
      </c>
      <c r="C18" s="35">
        <v>0</v>
      </c>
      <c r="D18" s="35">
        <v>0</v>
      </c>
      <c r="E18" s="35">
        <v>0</v>
      </c>
      <c r="F18" s="35">
        <v>0</v>
      </c>
      <c r="G18" s="35">
        <v>0</v>
      </c>
      <c r="H18" s="35">
        <v>0</v>
      </c>
      <c r="I18" s="27">
        <f t="shared" si="0"/>
        <v>0</v>
      </c>
    </row>
    <row r="19" spans="2:9" x14ac:dyDescent="0.25">
      <c r="B19" s="26">
        <v>15</v>
      </c>
      <c r="C19" s="35">
        <v>0</v>
      </c>
      <c r="D19" s="35">
        <v>0</v>
      </c>
      <c r="E19" s="35">
        <v>0</v>
      </c>
      <c r="F19" s="35">
        <v>0</v>
      </c>
      <c r="G19" s="35">
        <v>0</v>
      </c>
      <c r="H19" s="35">
        <v>0</v>
      </c>
      <c r="I19" s="27">
        <f t="shared" si="0"/>
        <v>0</v>
      </c>
    </row>
    <row r="20" spans="2:9" x14ac:dyDescent="0.25">
      <c r="B20" s="26">
        <v>16</v>
      </c>
      <c r="C20" s="35">
        <v>0</v>
      </c>
      <c r="D20" s="35">
        <v>0</v>
      </c>
      <c r="E20" s="35">
        <v>0</v>
      </c>
      <c r="F20" s="35">
        <v>0</v>
      </c>
      <c r="G20" s="35">
        <v>0</v>
      </c>
      <c r="H20" s="35">
        <v>0</v>
      </c>
      <c r="I20" s="27">
        <f t="shared" si="0"/>
        <v>0</v>
      </c>
    </row>
    <row r="21" spans="2:9" x14ac:dyDescent="0.25">
      <c r="B21" s="26">
        <v>17</v>
      </c>
      <c r="C21" s="35">
        <v>0</v>
      </c>
      <c r="D21" s="35">
        <v>0</v>
      </c>
      <c r="E21" s="35">
        <v>0</v>
      </c>
      <c r="F21" s="35">
        <v>0</v>
      </c>
      <c r="G21" s="35">
        <v>0</v>
      </c>
      <c r="H21" s="35">
        <v>0</v>
      </c>
      <c r="I21" s="27">
        <f t="shared" ref="I21:I35" si="1">SUM(C21:H21)</f>
        <v>0</v>
      </c>
    </row>
    <row r="22" spans="2:9" x14ac:dyDescent="0.25">
      <c r="B22" s="26">
        <v>18</v>
      </c>
      <c r="C22" s="35">
        <v>0</v>
      </c>
      <c r="D22" s="35">
        <v>0</v>
      </c>
      <c r="E22" s="35">
        <v>0</v>
      </c>
      <c r="F22" s="35">
        <v>0</v>
      </c>
      <c r="G22" s="35">
        <v>0</v>
      </c>
      <c r="H22" s="35">
        <v>0</v>
      </c>
      <c r="I22" s="27">
        <f t="shared" si="1"/>
        <v>0</v>
      </c>
    </row>
    <row r="23" spans="2:9" x14ac:dyDescent="0.25">
      <c r="B23" s="26">
        <v>19</v>
      </c>
      <c r="C23" s="35">
        <v>0</v>
      </c>
      <c r="D23" s="35">
        <v>0</v>
      </c>
      <c r="E23" s="35">
        <v>0</v>
      </c>
      <c r="F23" s="35">
        <v>0</v>
      </c>
      <c r="G23" s="35">
        <v>0</v>
      </c>
      <c r="H23" s="35">
        <v>0</v>
      </c>
      <c r="I23" s="27">
        <f t="shared" si="1"/>
        <v>0</v>
      </c>
    </row>
    <row r="24" spans="2:9" x14ac:dyDescent="0.25">
      <c r="B24" s="26">
        <v>20</v>
      </c>
      <c r="C24" s="35">
        <v>0</v>
      </c>
      <c r="D24" s="35">
        <v>0</v>
      </c>
      <c r="E24" s="35">
        <v>0</v>
      </c>
      <c r="F24" s="35">
        <v>0</v>
      </c>
      <c r="G24" s="35">
        <v>0</v>
      </c>
      <c r="H24" s="35">
        <v>0</v>
      </c>
      <c r="I24" s="27">
        <f t="shared" si="1"/>
        <v>0</v>
      </c>
    </row>
    <row r="25" spans="2:9" x14ac:dyDescent="0.25">
      <c r="B25" s="26">
        <v>21</v>
      </c>
      <c r="C25" s="35">
        <v>0</v>
      </c>
      <c r="D25" s="35">
        <v>0</v>
      </c>
      <c r="E25" s="35">
        <v>0</v>
      </c>
      <c r="F25" s="35">
        <v>0</v>
      </c>
      <c r="G25" s="35">
        <v>0</v>
      </c>
      <c r="H25" s="35">
        <v>0</v>
      </c>
      <c r="I25" s="27">
        <f t="shared" si="1"/>
        <v>0</v>
      </c>
    </row>
    <row r="26" spans="2:9" x14ac:dyDescent="0.25">
      <c r="B26" s="26">
        <v>22</v>
      </c>
      <c r="C26" s="35">
        <v>0</v>
      </c>
      <c r="D26" s="35">
        <v>0</v>
      </c>
      <c r="E26" s="35">
        <v>0</v>
      </c>
      <c r="F26" s="35">
        <v>0</v>
      </c>
      <c r="G26" s="35">
        <v>0</v>
      </c>
      <c r="H26" s="35">
        <v>0</v>
      </c>
      <c r="I26" s="27">
        <f t="shared" si="1"/>
        <v>0</v>
      </c>
    </row>
    <row r="27" spans="2:9" x14ac:dyDescent="0.25">
      <c r="B27" s="26">
        <v>23</v>
      </c>
      <c r="C27" s="35">
        <v>0</v>
      </c>
      <c r="D27" s="35">
        <v>0</v>
      </c>
      <c r="E27" s="35">
        <v>0</v>
      </c>
      <c r="F27" s="35">
        <v>0</v>
      </c>
      <c r="G27" s="35">
        <v>0</v>
      </c>
      <c r="H27" s="35">
        <v>0</v>
      </c>
      <c r="I27" s="27">
        <f t="shared" si="1"/>
        <v>0</v>
      </c>
    </row>
    <row r="28" spans="2:9" x14ac:dyDescent="0.25">
      <c r="B28" s="26">
        <v>24</v>
      </c>
      <c r="C28" s="35">
        <v>0</v>
      </c>
      <c r="D28" s="35">
        <v>0</v>
      </c>
      <c r="E28" s="35">
        <v>0</v>
      </c>
      <c r="F28" s="35">
        <v>0</v>
      </c>
      <c r="G28" s="35">
        <v>0</v>
      </c>
      <c r="H28" s="35">
        <v>0</v>
      </c>
      <c r="I28" s="27">
        <f t="shared" si="1"/>
        <v>0</v>
      </c>
    </row>
    <row r="29" spans="2:9" x14ac:dyDescent="0.25">
      <c r="B29" s="26">
        <v>25</v>
      </c>
      <c r="C29" s="35">
        <v>0</v>
      </c>
      <c r="D29" s="35">
        <v>0</v>
      </c>
      <c r="E29" s="35">
        <v>0</v>
      </c>
      <c r="F29" s="35">
        <v>0</v>
      </c>
      <c r="G29" s="35">
        <v>0</v>
      </c>
      <c r="H29" s="35">
        <v>0</v>
      </c>
      <c r="I29" s="27">
        <f t="shared" si="1"/>
        <v>0</v>
      </c>
    </row>
    <row r="30" spans="2:9" x14ac:dyDescent="0.25">
      <c r="B30" s="26">
        <v>26</v>
      </c>
      <c r="C30" s="35">
        <v>0</v>
      </c>
      <c r="D30" s="35">
        <v>0</v>
      </c>
      <c r="E30" s="35">
        <v>0</v>
      </c>
      <c r="F30" s="35">
        <v>0</v>
      </c>
      <c r="G30" s="35">
        <v>0</v>
      </c>
      <c r="H30" s="35">
        <v>0</v>
      </c>
      <c r="I30" s="27">
        <f t="shared" si="1"/>
        <v>0</v>
      </c>
    </row>
    <row r="31" spans="2:9" x14ac:dyDescent="0.25">
      <c r="B31" s="26">
        <v>27</v>
      </c>
      <c r="C31" s="35">
        <v>0</v>
      </c>
      <c r="D31" s="35">
        <v>0</v>
      </c>
      <c r="E31" s="35">
        <v>0</v>
      </c>
      <c r="F31" s="35">
        <v>0</v>
      </c>
      <c r="G31" s="35">
        <v>0</v>
      </c>
      <c r="H31" s="35">
        <v>0</v>
      </c>
      <c r="I31" s="27">
        <f t="shared" si="1"/>
        <v>0</v>
      </c>
    </row>
    <row r="32" spans="2:9" x14ac:dyDescent="0.25">
      <c r="B32" s="26">
        <v>28</v>
      </c>
      <c r="C32" s="35">
        <v>0</v>
      </c>
      <c r="D32" s="35">
        <v>0</v>
      </c>
      <c r="E32" s="35">
        <v>0</v>
      </c>
      <c r="F32" s="35">
        <v>0</v>
      </c>
      <c r="G32" s="35">
        <v>0</v>
      </c>
      <c r="H32" s="35">
        <v>0</v>
      </c>
      <c r="I32" s="27">
        <f t="shared" si="1"/>
        <v>0</v>
      </c>
    </row>
    <row r="33" spans="2:9" x14ac:dyDescent="0.25">
      <c r="B33" s="26">
        <v>29</v>
      </c>
      <c r="C33" s="35">
        <v>0</v>
      </c>
      <c r="D33" s="35">
        <v>0</v>
      </c>
      <c r="E33" s="35">
        <v>0</v>
      </c>
      <c r="F33" s="35">
        <v>0</v>
      </c>
      <c r="G33" s="35">
        <v>0</v>
      </c>
      <c r="H33" s="35">
        <v>0</v>
      </c>
      <c r="I33" s="27">
        <f t="shared" si="1"/>
        <v>0</v>
      </c>
    </row>
    <row r="34" spans="2:9" x14ac:dyDescent="0.25">
      <c r="B34" s="26">
        <v>30</v>
      </c>
      <c r="C34" s="35">
        <v>0</v>
      </c>
      <c r="D34" s="35">
        <v>0</v>
      </c>
      <c r="E34" s="35">
        <v>0</v>
      </c>
      <c r="F34" s="35">
        <v>0</v>
      </c>
      <c r="G34" s="35">
        <v>0</v>
      </c>
      <c r="H34" s="35">
        <v>0</v>
      </c>
      <c r="I34" s="27">
        <f t="shared" si="1"/>
        <v>0</v>
      </c>
    </row>
    <row r="35" spans="2:9" x14ac:dyDescent="0.25">
      <c r="B35" s="26">
        <v>31</v>
      </c>
      <c r="C35" s="35">
        <v>0</v>
      </c>
      <c r="D35" s="35">
        <v>0</v>
      </c>
      <c r="E35" s="35">
        <v>0</v>
      </c>
      <c r="F35" s="35">
        <v>0</v>
      </c>
      <c r="G35" s="35">
        <v>0</v>
      </c>
      <c r="H35" s="35">
        <v>0</v>
      </c>
      <c r="I35" s="27">
        <f t="shared" si="1"/>
        <v>0</v>
      </c>
    </row>
    <row r="36" spans="2:9" ht="13.8" thickBot="1" x14ac:dyDescent="0.3">
      <c r="B36" s="28"/>
      <c r="C36" s="29"/>
      <c r="D36" s="29"/>
      <c r="E36" s="29"/>
      <c r="F36" s="29"/>
      <c r="G36" s="29"/>
      <c r="H36" s="29"/>
      <c r="I36" s="30"/>
    </row>
    <row r="37" spans="2:9" ht="13.8" thickBot="1" x14ac:dyDescent="0.3">
      <c r="B37" s="31" t="s">
        <v>7</v>
      </c>
      <c r="C37" s="32">
        <f t="shared" ref="C37:I37" si="2">SUM(C5:C35)</f>
        <v>0</v>
      </c>
      <c r="D37" s="32">
        <f t="shared" si="2"/>
        <v>0</v>
      </c>
      <c r="E37" s="32">
        <f t="shared" si="2"/>
        <v>0</v>
      </c>
      <c r="F37" s="32">
        <f t="shared" si="2"/>
        <v>0</v>
      </c>
      <c r="G37" s="32">
        <f t="shared" si="2"/>
        <v>0</v>
      </c>
      <c r="H37" s="32">
        <f t="shared" si="2"/>
        <v>0</v>
      </c>
      <c r="I37" s="32">
        <f t="shared" si="2"/>
        <v>0</v>
      </c>
    </row>
    <row r="38" spans="2:9" x14ac:dyDescent="0.25">
      <c r="B38" s="19"/>
      <c r="C38" s="18"/>
      <c r="D38" s="18"/>
      <c r="E38" s="18"/>
      <c r="F38" s="18"/>
      <c r="G38" s="18"/>
      <c r="H38" s="18"/>
      <c r="I38" s="18"/>
    </row>
    <row r="39" spans="2:9" x14ac:dyDescent="0.25">
      <c r="B39" s="19"/>
      <c r="C39" s="20" t="e">
        <f t="shared" ref="C39:H39" si="3">+C37/$I$37%</f>
        <v>#DIV/0!</v>
      </c>
      <c r="D39" s="20" t="e">
        <f t="shared" si="3"/>
        <v>#DIV/0!</v>
      </c>
      <c r="E39" s="20" t="e">
        <f t="shared" si="3"/>
        <v>#DIV/0!</v>
      </c>
      <c r="F39" s="20" t="e">
        <f t="shared" si="3"/>
        <v>#DIV/0!</v>
      </c>
      <c r="G39" s="20" t="e">
        <f t="shared" si="3"/>
        <v>#DIV/0!</v>
      </c>
      <c r="H39" s="20" t="e">
        <f t="shared" si="3"/>
        <v>#DIV/0!</v>
      </c>
      <c r="I39" s="20" t="e">
        <f>SUM(C39+D39+E39+F39+G39+H39)</f>
        <v>#DIV/0!</v>
      </c>
    </row>
    <row r="40" spans="2:9" x14ac:dyDescent="0.25">
      <c r="B40" s="2"/>
    </row>
    <row r="41" spans="2:9" x14ac:dyDescent="0.25">
      <c r="B41" s="2"/>
      <c r="C41" s="3"/>
      <c r="D41" s="3"/>
      <c r="E41" s="3"/>
      <c r="F41" s="3"/>
      <c r="G41" s="3"/>
      <c r="H41" s="3"/>
      <c r="I41" s="3"/>
    </row>
    <row r="42" spans="2:9" x14ac:dyDescent="0.25">
      <c r="B42" s="2"/>
      <c r="C42" s="3"/>
      <c r="D42" s="3"/>
      <c r="E42" s="3"/>
      <c r="F42" s="3"/>
      <c r="G42" s="3"/>
      <c r="H42" s="3"/>
      <c r="I42" s="3"/>
    </row>
    <row r="43" spans="2:9" x14ac:dyDescent="0.25">
      <c r="B43" s="2"/>
      <c r="C43" s="3"/>
      <c r="D43" s="3"/>
      <c r="E43" s="3"/>
      <c r="F43" s="3"/>
      <c r="G43" s="3"/>
      <c r="H43" s="3"/>
      <c r="I43" s="3"/>
    </row>
    <row r="44" spans="2:9" x14ac:dyDescent="0.25">
      <c r="B44" s="2"/>
      <c r="C44" s="3"/>
      <c r="D44" s="3"/>
      <c r="E44" s="3"/>
      <c r="F44" s="3"/>
      <c r="G44" s="3"/>
      <c r="H44" s="3"/>
      <c r="I44" s="3"/>
    </row>
    <row r="45" spans="2:9" x14ac:dyDescent="0.25">
      <c r="B45" s="2"/>
      <c r="C45" s="3"/>
      <c r="D45" s="3"/>
      <c r="E45" s="3"/>
      <c r="F45" s="3"/>
      <c r="G45" s="3"/>
      <c r="H45" s="3"/>
      <c r="I45" s="3"/>
    </row>
    <row r="46" spans="2:9" x14ac:dyDescent="0.25">
      <c r="B46" s="2"/>
      <c r="C46" s="3"/>
      <c r="D46" s="3"/>
      <c r="E46" s="3"/>
      <c r="F46" s="3"/>
      <c r="G46" s="3"/>
      <c r="H46" s="3"/>
      <c r="I46" s="3"/>
    </row>
    <row r="47" spans="2:9" x14ac:dyDescent="0.25">
      <c r="B47" s="2"/>
      <c r="C47" s="3"/>
      <c r="D47" s="3"/>
      <c r="E47" s="3"/>
      <c r="F47" s="3"/>
      <c r="G47" s="3"/>
      <c r="H47" s="3"/>
      <c r="I47" s="3"/>
    </row>
    <row r="48" spans="2:9" x14ac:dyDescent="0.25">
      <c r="B48" s="2"/>
      <c r="C48" s="3"/>
      <c r="D48" s="3"/>
      <c r="E48" s="3"/>
      <c r="F48" s="3"/>
      <c r="G48" s="3"/>
      <c r="H48" s="3"/>
      <c r="I48" s="3"/>
    </row>
    <row r="49" spans="2:9" x14ac:dyDescent="0.25">
      <c r="B49" s="2"/>
      <c r="C49" s="3"/>
      <c r="D49" s="3"/>
      <c r="E49" s="3"/>
      <c r="F49" s="3"/>
      <c r="G49" s="3"/>
      <c r="H49" s="3"/>
      <c r="I49" s="3"/>
    </row>
    <row r="50" spans="2:9" x14ac:dyDescent="0.25">
      <c r="B50" s="2"/>
      <c r="C50" s="3"/>
      <c r="D50" s="3"/>
      <c r="E50" s="3"/>
      <c r="F50" s="3"/>
      <c r="G50" s="3"/>
      <c r="H50" s="3"/>
      <c r="I50" s="3"/>
    </row>
    <row r="51" spans="2:9" x14ac:dyDescent="0.25">
      <c r="B51" s="2"/>
      <c r="C51" s="3"/>
      <c r="D51" s="3"/>
      <c r="E51" s="3"/>
      <c r="F51" s="3"/>
      <c r="G51" s="3"/>
      <c r="H51" s="3"/>
      <c r="I51" s="3"/>
    </row>
    <row r="52" spans="2:9" x14ac:dyDescent="0.25">
      <c r="B52" s="2"/>
      <c r="C52" s="3"/>
      <c r="D52" s="3"/>
      <c r="E52" s="3"/>
      <c r="F52" s="3"/>
      <c r="G52" s="3"/>
      <c r="H52" s="3"/>
      <c r="I52" s="3"/>
    </row>
    <row r="53" spans="2:9" x14ac:dyDescent="0.25">
      <c r="B53" s="2"/>
      <c r="C53" s="3"/>
      <c r="D53" s="3"/>
      <c r="E53" s="3"/>
      <c r="F53" s="3"/>
      <c r="G53" s="3"/>
      <c r="H53" s="3"/>
      <c r="I53" s="3"/>
    </row>
    <row r="54" spans="2:9" x14ac:dyDescent="0.25">
      <c r="B54" s="2"/>
      <c r="C54" s="3"/>
      <c r="D54" s="3"/>
      <c r="E54" s="3"/>
      <c r="F54" s="3"/>
      <c r="G54" s="3"/>
      <c r="H54" s="3"/>
      <c r="I54" s="3"/>
    </row>
    <row r="55" spans="2:9" x14ac:dyDescent="0.25">
      <c r="B55" s="2"/>
      <c r="C55" s="3"/>
      <c r="D55" s="3"/>
      <c r="E55" s="3"/>
      <c r="F55" s="3"/>
      <c r="G55" s="3"/>
      <c r="H55" s="3"/>
      <c r="I55" s="3"/>
    </row>
    <row r="56" spans="2:9" x14ac:dyDescent="0.25">
      <c r="B56" s="2"/>
      <c r="C56" s="3"/>
      <c r="D56" s="3"/>
      <c r="E56" s="3"/>
      <c r="F56" s="3"/>
      <c r="G56" s="3"/>
      <c r="H56" s="3"/>
      <c r="I56" s="3"/>
    </row>
    <row r="57" spans="2:9" x14ac:dyDescent="0.25">
      <c r="B57" s="2"/>
      <c r="C57" s="3"/>
      <c r="D57" s="3"/>
      <c r="E57" s="3"/>
      <c r="F57" s="3"/>
      <c r="G57" s="3"/>
      <c r="H57" s="3"/>
      <c r="I57" s="3"/>
    </row>
    <row r="58" spans="2:9" x14ac:dyDescent="0.25">
      <c r="B58" s="2"/>
      <c r="C58" s="3"/>
      <c r="D58" s="3"/>
      <c r="E58" s="3"/>
      <c r="F58" s="3"/>
      <c r="G58" s="3"/>
      <c r="H58" s="3"/>
      <c r="I58" s="3"/>
    </row>
    <row r="59" spans="2:9" x14ac:dyDescent="0.25">
      <c r="B59" s="2"/>
      <c r="C59" s="3"/>
      <c r="D59" s="3"/>
      <c r="E59" s="3"/>
      <c r="F59" s="3"/>
      <c r="G59" s="3"/>
      <c r="H59" s="3"/>
      <c r="I59" s="3"/>
    </row>
  </sheetData>
  <sheetProtection sheet="1" objects="1" scenarios="1" selectLockedCells="1"/>
  <customSheetViews>
    <customSheetView guid="{E9A9889A-61F5-47D0-A5C6-BF43493EDD61}" showGridLines="0" showRowCol="0">
      <selection activeCell="C5" sqref="C5"/>
    </customSheetView>
    <customSheetView guid="{505FDB09-1B2F-4C19-8222-6158EDD21A0E}" showGridLines="0" showRowCol="0">
      <selection activeCell="C5" sqref="C5"/>
    </customSheetView>
    <customSheetView guid="{7982FB7F-E997-4C70-8B2B-B628B46385D2}" showGridLines="0" showRowCol="0">
      <selection activeCell="C5" sqref="C5"/>
    </customSheetView>
    <customSheetView guid="{9679493F-7CDF-46D6-BE72-B12FE11A478F}" showGridLines="0" showRowCol="0">
      <selection activeCell="C5" sqref="C5"/>
    </customSheetView>
  </customSheetViews>
  <mergeCells count="2">
    <mergeCell ref="B2:I2"/>
    <mergeCell ref="B3:I3"/>
  </mergeCells>
  <phoneticPr fontId="5" type="noConversion"/>
  <printOptions gridLinesSet="0"/>
  <pageMargins left="1.19" right="0.35433070866141736" top="0.74803149606299213" bottom="0.78740157480314965" header="0.27559055118110237" footer="0"/>
  <pageSetup paperSize="9" scale="105" orientation="portrait" horizont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VehicleCounter"/>
  <dimension ref="A1:I54"/>
  <sheetViews>
    <sheetView showGridLines="0" workbookViewId="0">
      <selection activeCell="A2" sqref="A2:H2"/>
    </sheetView>
  </sheetViews>
  <sheetFormatPr defaultRowHeight="13.2" x14ac:dyDescent="0.25"/>
  <cols>
    <col min="3" max="3" width="10.5546875" customWidth="1"/>
    <col min="4" max="4" width="11.44140625" customWidth="1"/>
    <col min="5" max="5" width="11.109375" customWidth="1"/>
    <col min="6" max="6" width="10.109375" customWidth="1"/>
    <col min="7" max="7" width="10.33203125" customWidth="1"/>
    <col min="8" max="8" width="8.6640625" customWidth="1"/>
    <col min="9" max="9" width="11.44140625" customWidth="1"/>
  </cols>
  <sheetData>
    <row r="1" spans="1:9" ht="15.6" x14ac:dyDescent="0.3">
      <c r="A1" s="5" t="s">
        <v>19</v>
      </c>
      <c r="B1" s="7"/>
      <c r="C1" s="7"/>
      <c r="D1" s="7"/>
      <c r="E1" s="8"/>
      <c r="F1" s="3"/>
      <c r="G1" s="11"/>
      <c r="H1" s="11"/>
      <c r="I1" s="11"/>
    </row>
    <row r="2" spans="1:9" ht="18" thickBot="1" x14ac:dyDescent="0.3">
      <c r="A2" s="372" t="e">
        <f>#REF!&amp; " " &amp;#REF!</f>
        <v>#REF!</v>
      </c>
      <c r="B2" s="373"/>
      <c r="C2" s="373"/>
      <c r="D2" s="373"/>
      <c r="E2" s="373"/>
      <c r="F2" s="373"/>
      <c r="G2" s="373"/>
      <c r="H2" s="374"/>
      <c r="I2" s="11"/>
    </row>
    <row r="3" spans="1:9" ht="26.4" x14ac:dyDescent="0.25">
      <c r="A3" s="9" t="s">
        <v>0</v>
      </c>
      <c r="B3" s="13" t="s">
        <v>9</v>
      </c>
      <c r="C3" s="10" t="s">
        <v>18</v>
      </c>
      <c r="D3" s="10" t="s">
        <v>16</v>
      </c>
      <c r="E3" s="10" t="s">
        <v>17</v>
      </c>
      <c r="F3" s="13" t="s">
        <v>10</v>
      </c>
      <c r="G3" s="12" t="s">
        <v>11</v>
      </c>
      <c r="H3" s="12" t="s">
        <v>12</v>
      </c>
      <c r="I3" s="12" t="s">
        <v>13</v>
      </c>
    </row>
    <row r="4" spans="1:9" ht="13.8" x14ac:dyDescent="0.25">
      <c r="A4" s="3">
        <v>1</v>
      </c>
      <c r="B4" s="4"/>
      <c r="C4" s="4"/>
      <c r="D4" s="4"/>
      <c r="E4" s="4"/>
      <c r="F4" s="3">
        <f>SUM(E4-B4)</f>
        <v>0</v>
      </c>
      <c r="G4" s="11">
        <f>SUM(C4-B4)</f>
        <v>0</v>
      </c>
      <c r="H4" s="11">
        <f>SUM(D4-C4)</f>
        <v>0</v>
      </c>
      <c r="I4" s="11">
        <f>SUM(E4-D4)</f>
        <v>0</v>
      </c>
    </row>
    <row r="5" spans="1:9" ht="13.8" x14ac:dyDescent="0.25">
      <c r="A5" s="3">
        <v>2</v>
      </c>
      <c r="B5" s="1"/>
      <c r="C5" s="4"/>
      <c r="D5" s="4"/>
      <c r="E5" s="4"/>
      <c r="F5" s="3">
        <f>SUM(E5-E4)</f>
        <v>0</v>
      </c>
      <c r="G5" s="11">
        <f t="shared" ref="G5:G34" si="0">SUM(C5-E4)</f>
        <v>0</v>
      </c>
      <c r="H5" s="11">
        <f t="shared" ref="H5:H34" si="1">SUM(D5-C5)</f>
        <v>0</v>
      </c>
      <c r="I5" s="11">
        <f t="shared" ref="I5:I33" si="2">SUM(E5-D5)</f>
        <v>0</v>
      </c>
    </row>
    <row r="6" spans="1:9" ht="13.8" x14ac:dyDescent="0.25">
      <c r="A6" s="3">
        <v>3</v>
      </c>
      <c r="B6" s="1"/>
      <c r="C6" s="4"/>
      <c r="D6" s="4"/>
      <c r="E6" s="4"/>
      <c r="F6" s="3">
        <f t="shared" ref="F6:F34" si="3">SUM(E6-E5)</f>
        <v>0</v>
      </c>
      <c r="G6" s="11">
        <f t="shared" si="0"/>
        <v>0</v>
      </c>
      <c r="H6" s="11">
        <f t="shared" si="1"/>
        <v>0</v>
      </c>
      <c r="I6" s="11">
        <f t="shared" si="2"/>
        <v>0</v>
      </c>
    </row>
    <row r="7" spans="1:9" ht="13.8" x14ac:dyDescent="0.25">
      <c r="A7" s="3">
        <v>4</v>
      </c>
      <c r="B7" s="1"/>
      <c r="C7" s="4"/>
      <c r="D7" s="4"/>
      <c r="E7" s="4"/>
      <c r="F7" s="3">
        <f t="shared" si="3"/>
        <v>0</v>
      </c>
      <c r="G7" s="11">
        <f t="shared" si="0"/>
        <v>0</v>
      </c>
      <c r="H7" s="11">
        <f t="shared" si="1"/>
        <v>0</v>
      </c>
      <c r="I7" s="11">
        <f t="shared" si="2"/>
        <v>0</v>
      </c>
    </row>
    <row r="8" spans="1:9" ht="13.8" x14ac:dyDescent="0.25">
      <c r="A8" s="3">
        <v>5</v>
      </c>
      <c r="B8" s="1"/>
      <c r="C8" s="4"/>
      <c r="D8" s="4"/>
      <c r="E8" s="4"/>
      <c r="F8" s="3">
        <f t="shared" si="3"/>
        <v>0</v>
      </c>
      <c r="G8" s="11">
        <f t="shared" si="0"/>
        <v>0</v>
      </c>
      <c r="H8" s="11">
        <f t="shared" si="1"/>
        <v>0</v>
      </c>
      <c r="I8" s="11">
        <f t="shared" si="2"/>
        <v>0</v>
      </c>
    </row>
    <row r="9" spans="1:9" ht="13.8" x14ac:dyDescent="0.25">
      <c r="A9" s="3">
        <v>6</v>
      </c>
      <c r="B9" s="1"/>
      <c r="C9" s="4"/>
      <c r="D9" s="4"/>
      <c r="E9" s="4"/>
      <c r="F9" s="3">
        <f t="shared" si="3"/>
        <v>0</v>
      </c>
      <c r="G9" s="11">
        <f t="shared" si="0"/>
        <v>0</v>
      </c>
      <c r="H9" s="11">
        <f t="shared" si="1"/>
        <v>0</v>
      </c>
      <c r="I9" s="11">
        <f t="shared" si="2"/>
        <v>0</v>
      </c>
    </row>
    <row r="10" spans="1:9" ht="13.8" x14ac:dyDescent="0.25">
      <c r="A10" s="3">
        <v>7</v>
      </c>
      <c r="B10" s="1"/>
      <c r="C10" s="4"/>
      <c r="D10" s="4"/>
      <c r="E10" s="4"/>
      <c r="F10" s="3">
        <f t="shared" si="3"/>
        <v>0</v>
      </c>
      <c r="G10" s="11">
        <f>SUM(C10-E9)</f>
        <v>0</v>
      </c>
      <c r="H10" s="11">
        <f>SUM(D10-C10)</f>
        <v>0</v>
      </c>
      <c r="I10" s="11">
        <f>SUM(E10-D10)</f>
        <v>0</v>
      </c>
    </row>
    <row r="11" spans="1:9" ht="13.8" x14ac:dyDescent="0.25">
      <c r="A11" s="3">
        <v>8</v>
      </c>
      <c r="B11" s="1"/>
      <c r="C11" s="4"/>
      <c r="D11" s="4"/>
      <c r="E11" s="4"/>
      <c r="F11" s="3">
        <f t="shared" si="3"/>
        <v>0</v>
      </c>
      <c r="G11" s="11">
        <f t="shared" si="0"/>
        <v>0</v>
      </c>
      <c r="H11" s="11">
        <f t="shared" si="1"/>
        <v>0</v>
      </c>
      <c r="I11" s="11">
        <f t="shared" si="2"/>
        <v>0</v>
      </c>
    </row>
    <row r="12" spans="1:9" ht="13.8" x14ac:dyDescent="0.25">
      <c r="A12" s="3">
        <v>9</v>
      </c>
      <c r="B12" s="1"/>
      <c r="C12" s="4"/>
      <c r="D12" s="4"/>
      <c r="E12" s="4"/>
      <c r="F12" s="3">
        <f t="shared" si="3"/>
        <v>0</v>
      </c>
      <c r="G12" s="11">
        <f>SUM(C12-E11)</f>
        <v>0</v>
      </c>
      <c r="H12" s="11">
        <f>SUM(D12-C12)</f>
        <v>0</v>
      </c>
      <c r="I12" s="11">
        <f>SUM(E12-D12)</f>
        <v>0</v>
      </c>
    </row>
    <row r="13" spans="1:9" ht="13.8" x14ac:dyDescent="0.25">
      <c r="A13" s="3">
        <v>10</v>
      </c>
      <c r="B13" s="21"/>
      <c r="C13" s="4"/>
      <c r="D13" s="4"/>
      <c r="E13" s="4"/>
      <c r="F13" s="3">
        <f t="shared" si="3"/>
        <v>0</v>
      </c>
      <c r="G13" s="11">
        <f t="shared" si="0"/>
        <v>0</v>
      </c>
      <c r="H13" s="11">
        <f t="shared" si="1"/>
        <v>0</v>
      </c>
      <c r="I13" s="11">
        <f t="shared" si="2"/>
        <v>0</v>
      </c>
    </row>
    <row r="14" spans="1:9" ht="13.8" x14ac:dyDescent="0.25">
      <c r="A14" s="3">
        <v>11</v>
      </c>
      <c r="B14" s="1"/>
      <c r="C14" s="4"/>
      <c r="D14" s="4"/>
      <c r="E14" s="4"/>
      <c r="F14" s="3">
        <f t="shared" si="3"/>
        <v>0</v>
      </c>
      <c r="G14" s="11">
        <f t="shared" si="0"/>
        <v>0</v>
      </c>
      <c r="H14" s="11">
        <f t="shared" si="1"/>
        <v>0</v>
      </c>
      <c r="I14" s="11">
        <f t="shared" si="2"/>
        <v>0</v>
      </c>
    </row>
    <row r="15" spans="1:9" ht="13.8" x14ac:dyDescent="0.25">
      <c r="A15" s="3">
        <v>12</v>
      </c>
      <c r="B15" s="1"/>
      <c r="C15" s="4"/>
      <c r="D15" s="4"/>
      <c r="E15" s="4"/>
      <c r="F15" s="3">
        <f t="shared" si="3"/>
        <v>0</v>
      </c>
      <c r="G15" s="11">
        <f t="shared" si="0"/>
        <v>0</v>
      </c>
      <c r="H15" s="11">
        <f t="shared" si="1"/>
        <v>0</v>
      </c>
      <c r="I15" s="11">
        <f t="shared" si="2"/>
        <v>0</v>
      </c>
    </row>
    <row r="16" spans="1:9" ht="13.8" x14ac:dyDescent="0.25">
      <c r="A16" s="3">
        <v>13</v>
      </c>
      <c r="B16" s="4"/>
      <c r="C16" s="4"/>
      <c r="D16" s="4"/>
      <c r="E16" s="4"/>
      <c r="F16" s="3">
        <f t="shared" si="3"/>
        <v>0</v>
      </c>
      <c r="G16" s="11">
        <f t="shared" si="0"/>
        <v>0</v>
      </c>
      <c r="H16" s="11">
        <f t="shared" si="1"/>
        <v>0</v>
      </c>
      <c r="I16" s="11">
        <f t="shared" si="2"/>
        <v>0</v>
      </c>
    </row>
    <row r="17" spans="1:9" ht="13.8" x14ac:dyDescent="0.25">
      <c r="A17" s="3">
        <v>14</v>
      </c>
      <c r="B17" s="4"/>
      <c r="C17" s="4"/>
      <c r="D17" s="4"/>
      <c r="E17" s="4"/>
      <c r="F17" s="3">
        <f t="shared" si="3"/>
        <v>0</v>
      </c>
      <c r="G17" s="11">
        <f t="shared" si="0"/>
        <v>0</v>
      </c>
      <c r="H17" s="11">
        <f t="shared" si="1"/>
        <v>0</v>
      </c>
      <c r="I17" s="11">
        <f t="shared" si="2"/>
        <v>0</v>
      </c>
    </row>
    <row r="18" spans="1:9" ht="13.8" x14ac:dyDescent="0.25">
      <c r="A18" s="3">
        <v>15</v>
      </c>
      <c r="B18" s="4"/>
      <c r="C18" s="4"/>
      <c r="D18" s="4"/>
      <c r="E18" s="4"/>
      <c r="F18" s="3">
        <f t="shared" si="3"/>
        <v>0</v>
      </c>
      <c r="G18" s="11">
        <f t="shared" si="0"/>
        <v>0</v>
      </c>
      <c r="H18" s="11">
        <f t="shared" si="1"/>
        <v>0</v>
      </c>
      <c r="I18" s="11">
        <f t="shared" si="2"/>
        <v>0</v>
      </c>
    </row>
    <row r="19" spans="1:9" ht="13.8" x14ac:dyDescent="0.25">
      <c r="A19" s="3">
        <v>16</v>
      </c>
      <c r="B19" s="4"/>
      <c r="C19" s="4"/>
      <c r="D19" s="4"/>
      <c r="E19" s="4"/>
      <c r="F19" s="3">
        <f t="shared" si="3"/>
        <v>0</v>
      </c>
      <c r="G19" s="11">
        <f t="shared" si="0"/>
        <v>0</v>
      </c>
      <c r="H19" s="11">
        <f t="shared" si="1"/>
        <v>0</v>
      </c>
      <c r="I19" s="11">
        <f t="shared" si="2"/>
        <v>0</v>
      </c>
    </row>
    <row r="20" spans="1:9" ht="13.8" x14ac:dyDescent="0.25">
      <c r="A20" s="3">
        <v>17</v>
      </c>
      <c r="B20" s="4"/>
      <c r="C20" s="4"/>
      <c r="D20" s="4"/>
      <c r="E20" s="4"/>
      <c r="F20" s="3">
        <f t="shared" si="3"/>
        <v>0</v>
      </c>
      <c r="G20" s="11">
        <f t="shared" si="0"/>
        <v>0</v>
      </c>
      <c r="H20" s="11">
        <f t="shared" si="1"/>
        <v>0</v>
      </c>
      <c r="I20" s="11">
        <f t="shared" si="2"/>
        <v>0</v>
      </c>
    </row>
    <row r="21" spans="1:9" ht="13.8" x14ac:dyDescent="0.25">
      <c r="A21" s="3">
        <v>18</v>
      </c>
      <c r="B21" s="4"/>
      <c r="C21" s="4"/>
      <c r="D21" s="4"/>
      <c r="E21" s="4"/>
      <c r="F21" s="3">
        <f t="shared" si="3"/>
        <v>0</v>
      </c>
      <c r="G21" s="11">
        <f t="shared" si="0"/>
        <v>0</v>
      </c>
      <c r="H21" s="11">
        <f t="shared" si="1"/>
        <v>0</v>
      </c>
      <c r="I21" s="11">
        <f t="shared" si="2"/>
        <v>0</v>
      </c>
    </row>
    <row r="22" spans="1:9" ht="13.8" x14ac:dyDescent="0.25">
      <c r="A22" s="3">
        <v>19</v>
      </c>
      <c r="B22" s="4"/>
      <c r="C22" s="4"/>
      <c r="D22" s="4"/>
      <c r="E22" s="4"/>
      <c r="F22" s="3">
        <f t="shared" si="3"/>
        <v>0</v>
      </c>
      <c r="G22" s="11">
        <f t="shared" si="0"/>
        <v>0</v>
      </c>
      <c r="H22" s="11">
        <f t="shared" si="1"/>
        <v>0</v>
      </c>
      <c r="I22" s="11">
        <f t="shared" si="2"/>
        <v>0</v>
      </c>
    </row>
    <row r="23" spans="1:9" ht="13.8" x14ac:dyDescent="0.25">
      <c r="A23" s="3">
        <v>20</v>
      </c>
      <c r="B23" s="4"/>
      <c r="C23" s="4"/>
      <c r="D23" s="4"/>
      <c r="E23" s="4"/>
      <c r="F23" s="3">
        <f t="shared" si="3"/>
        <v>0</v>
      </c>
      <c r="G23" s="11">
        <f t="shared" si="0"/>
        <v>0</v>
      </c>
      <c r="H23" s="11">
        <f t="shared" si="1"/>
        <v>0</v>
      </c>
      <c r="I23" s="11">
        <f t="shared" si="2"/>
        <v>0</v>
      </c>
    </row>
    <row r="24" spans="1:9" ht="13.8" x14ac:dyDescent="0.25">
      <c r="A24" s="3">
        <v>21</v>
      </c>
      <c r="B24" s="4"/>
      <c r="C24" s="4"/>
      <c r="D24" s="4"/>
      <c r="E24" s="4"/>
      <c r="F24" s="3">
        <f t="shared" si="3"/>
        <v>0</v>
      </c>
      <c r="G24" s="11">
        <f t="shared" si="0"/>
        <v>0</v>
      </c>
      <c r="H24" s="11">
        <f t="shared" si="1"/>
        <v>0</v>
      </c>
      <c r="I24" s="11">
        <f t="shared" si="2"/>
        <v>0</v>
      </c>
    </row>
    <row r="25" spans="1:9" ht="13.8" x14ac:dyDescent="0.25">
      <c r="A25" s="3">
        <v>22</v>
      </c>
      <c r="B25" s="4"/>
      <c r="C25" s="4"/>
      <c r="D25" s="4"/>
      <c r="E25" s="4"/>
      <c r="F25" s="3">
        <f t="shared" si="3"/>
        <v>0</v>
      </c>
      <c r="G25" s="11">
        <f t="shared" si="0"/>
        <v>0</v>
      </c>
      <c r="H25" s="11">
        <f t="shared" si="1"/>
        <v>0</v>
      </c>
      <c r="I25" s="11">
        <f t="shared" si="2"/>
        <v>0</v>
      </c>
    </row>
    <row r="26" spans="1:9" ht="13.8" x14ac:dyDescent="0.25">
      <c r="A26" s="3">
        <v>23</v>
      </c>
      <c r="B26" s="4"/>
      <c r="C26" s="4"/>
      <c r="D26" s="4"/>
      <c r="E26" s="4"/>
      <c r="F26" s="3">
        <f t="shared" si="3"/>
        <v>0</v>
      </c>
      <c r="G26" s="11">
        <f t="shared" si="0"/>
        <v>0</v>
      </c>
      <c r="H26" s="11">
        <f t="shared" si="1"/>
        <v>0</v>
      </c>
      <c r="I26" s="11">
        <f t="shared" si="2"/>
        <v>0</v>
      </c>
    </row>
    <row r="27" spans="1:9" ht="13.8" x14ac:dyDescent="0.25">
      <c r="A27" s="3">
        <v>24</v>
      </c>
      <c r="B27" s="4"/>
      <c r="C27" s="4"/>
      <c r="D27" s="4"/>
      <c r="E27" s="4"/>
      <c r="F27" s="3">
        <f t="shared" si="3"/>
        <v>0</v>
      </c>
      <c r="G27" s="11">
        <f t="shared" si="0"/>
        <v>0</v>
      </c>
      <c r="H27" s="11">
        <f t="shared" si="1"/>
        <v>0</v>
      </c>
      <c r="I27" s="11">
        <f t="shared" si="2"/>
        <v>0</v>
      </c>
    </row>
    <row r="28" spans="1:9" ht="13.8" x14ac:dyDescent="0.25">
      <c r="A28" s="3">
        <v>25</v>
      </c>
      <c r="B28" s="4"/>
      <c r="C28" s="4"/>
      <c r="D28" s="4"/>
      <c r="E28" s="4"/>
      <c r="F28" s="3">
        <f t="shared" si="3"/>
        <v>0</v>
      </c>
      <c r="G28" s="11">
        <f t="shared" si="0"/>
        <v>0</v>
      </c>
      <c r="H28" s="11">
        <f t="shared" si="1"/>
        <v>0</v>
      </c>
      <c r="I28" s="11">
        <f t="shared" si="2"/>
        <v>0</v>
      </c>
    </row>
    <row r="29" spans="1:9" ht="13.8" x14ac:dyDescent="0.25">
      <c r="A29" s="3">
        <v>26</v>
      </c>
      <c r="B29" s="4"/>
      <c r="C29" s="4"/>
      <c r="D29" s="4"/>
      <c r="E29" s="4"/>
      <c r="F29" s="3">
        <f t="shared" si="3"/>
        <v>0</v>
      </c>
      <c r="G29" s="11">
        <f t="shared" si="0"/>
        <v>0</v>
      </c>
      <c r="H29" s="11">
        <f t="shared" si="1"/>
        <v>0</v>
      </c>
      <c r="I29" s="11">
        <f t="shared" si="2"/>
        <v>0</v>
      </c>
    </row>
    <row r="30" spans="1:9" ht="13.8" x14ac:dyDescent="0.25">
      <c r="A30" s="3">
        <v>27</v>
      </c>
      <c r="B30" s="4"/>
      <c r="C30" s="4"/>
      <c r="D30" s="4"/>
      <c r="E30" s="4"/>
      <c r="F30" s="3">
        <f t="shared" si="3"/>
        <v>0</v>
      </c>
      <c r="G30" s="11">
        <f t="shared" si="0"/>
        <v>0</v>
      </c>
      <c r="H30" s="11">
        <f t="shared" si="1"/>
        <v>0</v>
      </c>
      <c r="I30" s="11">
        <f t="shared" si="2"/>
        <v>0</v>
      </c>
    </row>
    <row r="31" spans="1:9" ht="13.8" x14ac:dyDescent="0.25">
      <c r="A31" s="3">
        <v>28</v>
      </c>
      <c r="B31" s="4"/>
      <c r="C31" s="4"/>
      <c r="D31" s="4"/>
      <c r="E31" s="4"/>
      <c r="F31" s="3">
        <f t="shared" si="3"/>
        <v>0</v>
      </c>
      <c r="G31" s="11">
        <f t="shared" si="0"/>
        <v>0</v>
      </c>
      <c r="H31" s="11">
        <f t="shared" si="1"/>
        <v>0</v>
      </c>
      <c r="I31" s="11">
        <f t="shared" si="2"/>
        <v>0</v>
      </c>
    </row>
    <row r="32" spans="1:9" ht="13.8" x14ac:dyDescent="0.25">
      <c r="A32" s="3">
        <v>29</v>
      </c>
      <c r="B32" s="4"/>
      <c r="C32" s="4"/>
      <c r="D32" s="4"/>
      <c r="E32" s="4"/>
      <c r="F32" s="3">
        <f t="shared" si="3"/>
        <v>0</v>
      </c>
      <c r="G32" s="11">
        <f t="shared" si="0"/>
        <v>0</v>
      </c>
      <c r="H32" s="11">
        <f t="shared" si="1"/>
        <v>0</v>
      </c>
      <c r="I32" s="11">
        <f t="shared" si="2"/>
        <v>0</v>
      </c>
    </row>
    <row r="33" spans="1:9" ht="13.8" x14ac:dyDescent="0.25">
      <c r="A33" s="3">
        <v>30</v>
      </c>
      <c r="B33" s="4"/>
      <c r="C33" s="4"/>
      <c r="D33" s="4"/>
      <c r="E33" s="4"/>
      <c r="F33" s="3">
        <f t="shared" si="3"/>
        <v>0</v>
      </c>
      <c r="G33" s="11">
        <f t="shared" si="0"/>
        <v>0</v>
      </c>
      <c r="H33" s="11">
        <f t="shared" si="1"/>
        <v>0</v>
      </c>
      <c r="I33" s="11">
        <f t="shared" si="2"/>
        <v>0</v>
      </c>
    </row>
    <row r="34" spans="1:9" ht="13.8" x14ac:dyDescent="0.25">
      <c r="A34" s="3">
        <v>31</v>
      </c>
      <c r="B34" s="4"/>
      <c r="C34" s="4"/>
      <c r="D34" s="4"/>
      <c r="E34" s="4"/>
      <c r="F34" s="3">
        <f t="shared" si="3"/>
        <v>0</v>
      </c>
      <c r="G34" s="11">
        <f t="shared" si="0"/>
        <v>0</v>
      </c>
      <c r="H34" s="11">
        <f t="shared" si="1"/>
        <v>0</v>
      </c>
      <c r="I34" s="11">
        <f>SUM(E34-D34)</f>
        <v>0</v>
      </c>
    </row>
    <row r="35" spans="1:9" x14ac:dyDescent="0.25">
      <c r="A35" s="2"/>
      <c r="B35" s="3"/>
      <c r="C35" s="3"/>
      <c r="D35" s="3"/>
      <c r="E35" s="3"/>
      <c r="F35" s="3">
        <f>SUM(F4:F34)</f>
        <v>0</v>
      </c>
      <c r="G35" s="15">
        <f>SUM(G4:G34)</f>
        <v>0</v>
      </c>
      <c r="H35" s="15">
        <f>SUM(H4:H34)</f>
        <v>0</v>
      </c>
      <c r="I35" s="15">
        <f>SUM(I4:I34)</f>
        <v>0</v>
      </c>
    </row>
    <row r="36" spans="1:9" x14ac:dyDescent="0.25">
      <c r="A36" s="2"/>
      <c r="B36" s="3"/>
      <c r="C36" s="3"/>
      <c r="D36" s="3"/>
      <c r="E36" s="3"/>
      <c r="F36" s="3"/>
      <c r="G36" s="15"/>
      <c r="H36" s="15"/>
      <c r="I36" s="15"/>
    </row>
    <row r="37" spans="1:9" x14ac:dyDescent="0.25">
      <c r="A37" s="2"/>
      <c r="B37" s="3"/>
      <c r="C37" s="3"/>
      <c r="D37" s="3"/>
      <c r="E37" s="16" t="s">
        <v>14</v>
      </c>
      <c r="F37" s="17">
        <f>SUM(F35*0.7)</f>
        <v>0</v>
      </c>
      <c r="G37" s="17">
        <f>SUM(G35*0.7)</f>
        <v>0</v>
      </c>
      <c r="H37" s="17">
        <f>SUM(H35*0.7)</f>
        <v>0</v>
      </c>
      <c r="I37" s="17">
        <f>SUM(I35*0.7)</f>
        <v>0</v>
      </c>
    </row>
    <row r="38" spans="1:9" x14ac:dyDescent="0.25">
      <c r="A38" s="2"/>
      <c r="B38" s="3"/>
      <c r="C38" s="3"/>
      <c r="D38" s="3"/>
      <c r="E38" s="3"/>
      <c r="F38" s="3"/>
      <c r="G38" s="14"/>
      <c r="H38" s="14"/>
      <c r="I38" s="14"/>
    </row>
    <row r="39" spans="1:9" x14ac:dyDescent="0.25">
      <c r="A39" s="2"/>
      <c r="B39" s="3"/>
      <c r="C39" s="3"/>
      <c r="D39" s="3"/>
      <c r="E39" s="3"/>
      <c r="F39" s="3"/>
      <c r="G39" s="14"/>
      <c r="H39" s="14"/>
      <c r="I39" s="14"/>
    </row>
    <row r="40" spans="1:9" x14ac:dyDescent="0.25">
      <c r="A40" s="2"/>
      <c r="B40" s="3"/>
      <c r="C40" s="3"/>
      <c r="D40" s="3"/>
      <c r="E40" s="3"/>
      <c r="F40" s="3"/>
      <c r="G40" s="14"/>
      <c r="H40" s="14"/>
      <c r="I40" s="14"/>
    </row>
    <row r="41" spans="1:9" x14ac:dyDescent="0.25">
      <c r="A41" s="2"/>
      <c r="B41" s="3"/>
      <c r="C41" s="3"/>
      <c r="D41" s="3"/>
      <c r="E41" s="3"/>
      <c r="F41" s="3"/>
      <c r="G41" s="14"/>
      <c r="H41" s="14"/>
      <c r="I41" s="14"/>
    </row>
    <row r="42" spans="1:9" x14ac:dyDescent="0.25">
      <c r="A42" s="2"/>
      <c r="B42" s="3"/>
      <c r="C42" s="3"/>
      <c r="D42" s="3"/>
      <c r="E42" s="3"/>
      <c r="F42" s="3"/>
      <c r="G42" s="14"/>
      <c r="H42" s="14"/>
      <c r="I42" s="14"/>
    </row>
    <row r="43" spans="1:9" x14ac:dyDescent="0.25">
      <c r="A43" s="2"/>
      <c r="B43" s="3"/>
      <c r="C43" s="3"/>
      <c r="D43" s="3"/>
      <c r="E43" s="3"/>
      <c r="F43" s="3"/>
      <c r="G43" s="14"/>
      <c r="H43" s="14"/>
      <c r="I43" s="14"/>
    </row>
    <row r="44" spans="1:9" x14ac:dyDescent="0.25">
      <c r="A44" s="2"/>
      <c r="B44" s="3"/>
      <c r="C44" s="3"/>
      <c r="D44" s="3"/>
      <c r="E44" s="3"/>
      <c r="F44" s="3"/>
      <c r="G44" s="14"/>
      <c r="H44" s="14"/>
      <c r="I44" s="14"/>
    </row>
    <row r="45" spans="1:9" x14ac:dyDescent="0.25">
      <c r="A45" s="2"/>
      <c r="B45" s="3"/>
      <c r="C45" s="3"/>
      <c r="D45" s="3"/>
      <c r="E45" s="3"/>
      <c r="F45" s="3"/>
      <c r="G45" s="14"/>
      <c r="H45" s="14"/>
      <c r="I45" s="14"/>
    </row>
    <row r="46" spans="1:9" x14ac:dyDescent="0.25">
      <c r="A46" s="2"/>
      <c r="B46" s="3"/>
      <c r="C46" s="3"/>
      <c r="D46" s="3"/>
      <c r="E46" s="3"/>
      <c r="F46" s="3"/>
      <c r="G46" s="14"/>
      <c r="H46" s="14"/>
      <c r="I46" s="14"/>
    </row>
    <row r="47" spans="1:9" x14ac:dyDescent="0.25">
      <c r="A47" s="2"/>
      <c r="B47" s="3"/>
      <c r="C47" s="3"/>
      <c r="D47" s="3"/>
      <c r="E47" s="3"/>
      <c r="F47" s="3"/>
      <c r="G47" s="14"/>
      <c r="H47" s="14"/>
      <c r="I47" s="14"/>
    </row>
    <row r="48" spans="1:9" x14ac:dyDescent="0.25">
      <c r="A48" s="2"/>
      <c r="B48" s="3"/>
      <c r="C48" s="3"/>
      <c r="D48" s="3"/>
      <c r="E48" s="3"/>
      <c r="F48" s="3"/>
      <c r="G48" s="14"/>
      <c r="H48" s="14"/>
      <c r="I48" s="14"/>
    </row>
    <row r="49" spans="1:9" x14ac:dyDescent="0.25">
      <c r="A49" s="2"/>
      <c r="B49" s="3"/>
      <c r="C49" s="3"/>
      <c r="D49" s="3"/>
      <c r="E49" s="3"/>
      <c r="F49" s="3"/>
      <c r="G49" s="14"/>
      <c r="H49" s="14"/>
      <c r="I49" s="14"/>
    </row>
    <row r="50" spans="1:9" x14ac:dyDescent="0.25">
      <c r="A50" s="2"/>
      <c r="B50" s="3"/>
      <c r="C50" s="3"/>
      <c r="D50" s="3"/>
      <c r="E50" s="3"/>
      <c r="F50" s="3"/>
      <c r="G50" s="14"/>
      <c r="H50" s="14"/>
      <c r="I50" s="14"/>
    </row>
    <row r="51" spans="1:9" x14ac:dyDescent="0.25">
      <c r="A51" s="2"/>
      <c r="B51" s="3"/>
      <c r="C51" s="3"/>
      <c r="D51" s="3"/>
      <c r="E51" s="3"/>
      <c r="F51" s="3"/>
      <c r="G51" s="14"/>
      <c r="H51" s="14"/>
      <c r="I51" s="14"/>
    </row>
    <row r="52" spans="1:9" x14ac:dyDescent="0.25">
      <c r="A52" s="2"/>
      <c r="B52" s="3"/>
      <c r="C52" s="3"/>
      <c r="D52" s="3"/>
      <c r="E52" s="3"/>
      <c r="F52" s="3"/>
      <c r="G52" s="14"/>
      <c r="H52" s="14"/>
      <c r="I52" s="14"/>
    </row>
    <row r="53" spans="1:9" x14ac:dyDescent="0.25">
      <c r="B53" s="6"/>
      <c r="C53" s="6"/>
      <c r="D53" s="6"/>
      <c r="E53" s="6"/>
      <c r="F53" s="6"/>
      <c r="G53" s="14"/>
      <c r="H53" s="14"/>
      <c r="I53" s="14"/>
    </row>
    <row r="54" spans="1:9" x14ac:dyDescent="0.25">
      <c r="B54" s="6"/>
      <c r="C54" s="6"/>
      <c r="D54" s="6"/>
      <c r="E54" s="6"/>
      <c r="F54" s="6"/>
      <c r="G54" s="14"/>
      <c r="H54" s="14"/>
      <c r="I54" s="14"/>
    </row>
  </sheetData>
  <sheetProtection sheet="1" objects="1" scenarios="1" selectLockedCells="1"/>
  <customSheetViews>
    <customSheetView guid="{E9A9889A-61F5-47D0-A5C6-BF43493EDD61}" showGridLines="0" state="hidden">
      <selection activeCell="A2" sqref="A2:H2"/>
    </customSheetView>
    <customSheetView guid="{505FDB09-1B2F-4C19-8222-6158EDD21A0E}" showGridLines="0" state="hidden">
      <selection activeCell="A2" sqref="A2:H2"/>
    </customSheetView>
    <customSheetView guid="{7982FB7F-E997-4C70-8B2B-B628B46385D2}" showGridLines="0" state="hidden">
      <selection activeCell="A2" sqref="A2:H2"/>
    </customSheetView>
    <customSheetView guid="{9679493F-7CDF-46D6-BE72-B12FE11A478F}" showGridLines="0" state="hidden">
      <selection activeCell="A2" sqref="A2:H2"/>
    </customSheetView>
  </customSheetViews>
  <mergeCells count="1">
    <mergeCell ref="A2:H2"/>
  </mergeCells>
  <phoneticPr fontId="5" type="noConversion"/>
  <printOptions gridLinesSet="0"/>
  <pageMargins left="0.75" right="0.33" top="0.49" bottom="0.5" header="0.44" footer="0.38"/>
  <pageSetup paperSize="9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aravans"/>
  <dimension ref="B1:I59"/>
  <sheetViews>
    <sheetView showGridLines="0" showRowColHeaders="0" topLeftCell="A10" zoomScaleNormal="85" workbookViewId="0">
      <selection activeCell="E14" sqref="E14"/>
    </sheetView>
  </sheetViews>
  <sheetFormatPr defaultRowHeight="13.2" x14ac:dyDescent="0.25"/>
  <cols>
    <col min="2" max="2" width="8.33203125" customWidth="1"/>
    <col min="3" max="7" width="8.33203125" style="6" customWidth="1"/>
    <col min="8" max="8" width="11.6640625" style="6" customWidth="1"/>
    <col min="9" max="9" width="12.6640625" style="6" customWidth="1"/>
  </cols>
  <sheetData>
    <row r="1" spans="2:9" ht="13.8" thickBot="1" x14ac:dyDescent="0.3"/>
    <row r="2" spans="2:9" ht="15.6" x14ac:dyDescent="0.3">
      <c r="B2" s="369" t="str">
        <f xml:space="preserve"> "CARAVANS &amp; CAMPERS PASSING THROUGH " &amp; Location</f>
        <v>CARAVANS &amp; CAMPERS PASSING THROUGH OODLA WIRRA</v>
      </c>
      <c r="C2" s="370"/>
      <c r="D2" s="370"/>
      <c r="E2" s="370"/>
      <c r="F2" s="370"/>
      <c r="G2" s="370"/>
      <c r="H2" s="370"/>
      <c r="I2" s="371"/>
    </row>
    <row r="3" spans="2:9" ht="18" thickBot="1" x14ac:dyDescent="0.3">
      <c r="B3" s="372" t="str">
        <f>Month &amp; " " &amp; Year</f>
        <v>November 2017</v>
      </c>
      <c r="C3" s="373"/>
      <c r="D3" s="373"/>
      <c r="E3" s="373"/>
      <c r="F3" s="373"/>
      <c r="G3" s="373"/>
      <c r="H3" s="373"/>
      <c r="I3" s="374"/>
    </row>
    <row r="4" spans="2:9" s="22" customFormat="1" ht="24.6" thickBot="1" x14ac:dyDescent="0.3">
      <c r="B4" s="23" t="s">
        <v>0</v>
      </c>
      <c r="C4" s="23" t="s">
        <v>1</v>
      </c>
      <c r="D4" s="23" t="s">
        <v>2</v>
      </c>
      <c r="E4" s="23" t="s">
        <v>3</v>
      </c>
      <c r="F4" s="23" t="s">
        <v>4</v>
      </c>
      <c r="G4" s="23" t="s">
        <v>5</v>
      </c>
      <c r="H4" s="23" t="s">
        <v>6</v>
      </c>
      <c r="I4" s="23" t="s">
        <v>8</v>
      </c>
    </row>
    <row r="5" spans="2:9" x14ac:dyDescent="0.25">
      <c r="B5" s="24">
        <v>1</v>
      </c>
      <c r="C5" s="34">
        <v>0</v>
      </c>
      <c r="D5" s="34">
        <v>0</v>
      </c>
      <c r="E5" s="34">
        <v>0</v>
      </c>
      <c r="F5" s="34">
        <v>0</v>
      </c>
      <c r="G5" s="34">
        <v>0</v>
      </c>
      <c r="H5" s="34">
        <v>0</v>
      </c>
      <c r="I5" s="25">
        <f t="shared" ref="I5:I20" si="0">SUM(C5:H5)</f>
        <v>0</v>
      </c>
    </row>
    <row r="6" spans="2:9" x14ac:dyDescent="0.25">
      <c r="B6" s="26">
        <v>2</v>
      </c>
      <c r="C6" s="35">
        <v>0</v>
      </c>
      <c r="D6" s="35">
        <v>0</v>
      </c>
      <c r="E6" s="35">
        <v>0</v>
      </c>
      <c r="F6" s="35">
        <v>0</v>
      </c>
      <c r="G6" s="35">
        <v>0</v>
      </c>
      <c r="H6" s="35">
        <v>0</v>
      </c>
      <c r="I6" s="27">
        <f t="shared" si="0"/>
        <v>0</v>
      </c>
    </row>
    <row r="7" spans="2:9" x14ac:dyDescent="0.25">
      <c r="B7" s="26">
        <v>3</v>
      </c>
      <c r="C7" s="35">
        <v>0</v>
      </c>
      <c r="D7" s="35">
        <v>0</v>
      </c>
      <c r="E7" s="35">
        <v>0</v>
      </c>
      <c r="F7" s="35">
        <v>0</v>
      </c>
      <c r="G7" s="35">
        <v>0</v>
      </c>
      <c r="H7" s="35">
        <v>0</v>
      </c>
      <c r="I7" s="27">
        <f t="shared" si="0"/>
        <v>0</v>
      </c>
    </row>
    <row r="8" spans="2:9" x14ac:dyDescent="0.25">
      <c r="B8" s="26">
        <v>4</v>
      </c>
      <c r="C8" s="35">
        <v>0</v>
      </c>
      <c r="D8" s="35">
        <v>0</v>
      </c>
      <c r="E8" s="35">
        <v>0</v>
      </c>
      <c r="F8" s="35">
        <v>0</v>
      </c>
      <c r="G8" s="35">
        <v>0</v>
      </c>
      <c r="H8" s="35">
        <v>0</v>
      </c>
      <c r="I8" s="27">
        <f t="shared" si="0"/>
        <v>0</v>
      </c>
    </row>
    <row r="9" spans="2:9" x14ac:dyDescent="0.25">
      <c r="B9" s="26">
        <v>5</v>
      </c>
      <c r="C9" s="35">
        <v>0</v>
      </c>
      <c r="D9" s="35">
        <v>0</v>
      </c>
      <c r="E9" s="35">
        <v>0</v>
      </c>
      <c r="F9" s="35">
        <v>0</v>
      </c>
      <c r="G9" s="35">
        <v>0</v>
      </c>
      <c r="H9" s="35">
        <v>0</v>
      </c>
      <c r="I9" s="27">
        <f t="shared" si="0"/>
        <v>0</v>
      </c>
    </row>
    <row r="10" spans="2:9" x14ac:dyDescent="0.25">
      <c r="B10" s="26">
        <v>6</v>
      </c>
      <c r="C10" s="35">
        <v>0</v>
      </c>
      <c r="D10" s="35">
        <v>0</v>
      </c>
      <c r="E10" s="35">
        <v>0</v>
      </c>
      <c r="F10" s="35">
        <v>0</v>
      </c>
      <c r="G10" s="35">
        <v>0</v>
      </c>
      <c r="H10" s="35">
        <v>0</v>
      </c>
      <c r="I10" s="27">
        <f t="shared" si="0"/>
        <v>0</v>
      </c>
    </row>
    <row r="11" spans="2:9" x14ac:dyDescent="0.25">
      <c r="B11" s="26">
        <v>7</v>
      </c>
      <c r="C11" s="35">
        <v>0</v>
      </c>
      <c r="D11" s="35">
        <v>0</v>
      </c>
      <c r="E11" s="35">
        <v>0</v>
      </c>
      <c r="F11" s="35">
        <v>0</v>
      </c>
      <c r="G11" s="35">
        <v>0</v>
      </c>
      <c r="H11" s="35">
        <v>0</v>
      </c>
      <c r="I11" s="27">
        <f t="shared" si="0"/>
        <v>0</v>
      </c>
    </row>
    <row r="12" spans="2:9" x14ac:dyDescent="0.25">
      <c r="B12" s="26">
        <v>8</v>
      </c>
      <c r="C12" s="35">
        <v>0</v>
      </c>
      <c r="D12" s="35">
        <v>0</v>
      </c>
      <c r="E12" s="35">
        <v>0</v>
      </c>
      <c r="F12" s="35">
        <v>0</v>
      </c>
      <c r="G12" s="35">
        <v>0</v>
      </c>
      <c r="H12" s="35">
        <v>0</v>
      </c>
      <c r="I12" s="27">
        <f t="shared" si="0"/>
        <v>0</v>
      </c>
    </row>
    <row r="13" spans="2:9" x14ac:dyDescent="0.25">
      <c r="B13" s="26">
        <v>9</v>
      </c>
      <c r="C13" s="35">
        <v>0</v>
      </c>
      <c r="D13" s="35">
        <v>0</v>
      </c>
      <c r="E13" s="35">
        <v>0</v>
      </c>
      <c r="F13" s="35">
        <v>0</v>
      </c>
      <c r="G13" s="35">
        <v>0</v>
      </c>
      <c r="H13" s="35">
        <v>0</v>
      </c>
      <c r="I13" s="27">
        <f t="shared" si="0"/>
        <v>0</v>
      </c>
    </row>
    <row r="14" spans="2:9" x14ac:dyDescent="0.25">
      <c r="B14" s="26">
        <v>10</v>
      </c>
      <c r="C14" s="35">
        <v>0</v>
      </c>
      <c r="D14" s="35">
        <v>0</v>
      </c>
      <c r="E14" s="35">
        <v>0</v>
      </c>
      <c r="F14" s="35">
        <v>0</v>
      </c>
      <c r="G14" s="35">
        <v>0</v>
      </c>
      <c r="H14" s="35">
        <v>0</v>
      </c>
      <c r="I14" s="27">
        <f t="shared" si="0"/>
        <v>0</v>
      </c>
    </row>
    <row r="15" spans="2:9" x14ac:dyDescent="0.25">
      <c r="B15" s="26">
        <v>11</v>
      </c>
      <c r="C15" s="35">
        <v>0</v>
      </c>
      <c r="D15" s="35">
        <v>0</v>
      </c>
      <c r="E15" s="35">
        <v>0</v>
      </c>
      <c r="F15" s="35">
        <v>0</v>
      </c>
      <c r="G15" s="35">
        <v>0</v>
      </c>
      <c r="H15" s="35">
        <v>0</v>
      </c>
      <c r="I15" s="27">
        <f t="shared" si="0"/>
        <v>0</v>
      </c>
    </row>
    <row r="16" spans="2:9" x14ac:dyDescent="0.25">
      <c r="B16" s="26">
        <v>12</v>
      </c>
      <c r="C16" s="35">
        <v>0</v>
      </c>
      <c r="D16" s="35">
        <v>0</v>
      </c>
      <c r="E16" s="35">
        <v>0</v>
      </c>
      <c r="F16" s="35">
        <v>0</v>
      </c>
      <c r="G16" s="35">
        <v>0</v>
      </c>
      <c r="H16" s="35">
        <v>0</v>
      </c>
      <c r="I16" s="27">
        <f t="shared" si="0"/>
        <v>0</v>
      </c>
    </row>
    <row r="17" spans="2:9" x14ac:dyDescent="0.25">
      <c r="B17" s="26">
        <v>13</v>
      </c>
      <c r="C17" s="35">
        <v>0</v>
      </c>
      <c r="D17" s="35">
        <v>0</v>
      </c>
      <c r="E17" s="35">
        <v>0</v>
      </c>
      <c r="F17" s="35">
        <v>0</v>
      </c>
      <c r="G17" s="35">
        <v>0</v>
      </c>
      <c r="H17" s="35">
        <v>0</v>
      </c>
      <c r="I17" s="27">
        <f t="shared" si="0"/>
        <v>0</v>
      </c>
    </row>
    <row r="18" spans="2:9" x14ac:dyDescent="0.25">
      <c r="B18" s="26">
        <v>14</v>
      </c>
      <c r="C18" s="35">
        <v>0</v>
      </c>
      <c r="D18" s="35">
        <v>0</v>
      </c>
      <c r="E18" s="35">
        <v>0</v>
      </c>
      <c r="F18" s="35">
        <v>0</v>
      </c>
      <c r="G18" s="35">
        <v>0</v>
      </c>
      <c r="H18" s="35">
        <v>0</v>
      </c>
      <c r="I18" s="27">
        <f t="shared" si="0"/>
        <v>0</v>
      </c>
    </row>
    <row r="19" spans="2:9" x14ac:dyDescent="0.25">
      <c r="B19" s="26">
        <v>15</v>
      </c>
      <c r="C19" s="35">
        <v>0</v>
      </c>
      <c r="D19" s="35">
        <v>0</v>
      </c>
      <c r="E19" s="35">
        <v>0</v>
      </c>
      <c r="F19" s="35">
        <v>0</v>
      </c>
      <c r="G19" s="35">
        <v>0</v>
      </c>
      <c r="H19" s="35">
        <v>0</v>
      </c>
      <c r="I19" s="27">
        <f t="shared" si="0"/>
        <v>0</v>
      </c>
    </row>
    <row r="20" spans="2:9" x14ac:dyDescent="0.25">
      <c r="B20" s="26">
        <v>16</v>
      </c>
      <c r="C20" s="35">
        <v>0</v>
      </c>
      <c r="D20" s="35">
        <v>0</v>
      </c>
      <c r="E20" s="35">
        <v>0</v>
      </c>
      <c r="F20" s="35">
        <v>0</v>
      </c>
      <c r="G20" s="35">
        <v>0</v>
      </c>
      <c r="H20" s="35">
        <v>0</v>
      </c>
      <c r="I20" s="27">
        <f t="shared" si="0"/>
        <v>0</v>
      </c>
    </row>
    <row r="21" spans="2:9" x14ac:dyDescent="0.25">
      <c r="B21" s="26">
        <v>17</v>
      </c>
      <c r="C21" s="35">
        <v>0</v>
      </c>
      <c r="D21" s="35">
        <v>0</v>
      </c>
      <c r="E21" s="35">
        <v>0</v>
      </c>
      <c r="F21" s="35">
        <v>0</v>
      </c>
      <c r="G21" s="35">
        <v>0</v>
      </c>
      <c r="H21" s="35">
        <v>0</v>
      </c>
      <c r="I21" s="27">
        <f t="shared" ref="I21:I35" si="1">SUM(C21:H21)</f>
        <v>0</v>
      </c>
    </row>
    <row r="22" spans="2:9" x14ac:dyDescent="0.25">
      <c r="B22" s="26">
        <v>18</v>
      </c>
      <c r="C22" s="35">
        <v>0</v>
      </c>
      <c r="D22" s="35">
        <v>0</v>
      </c>
      <c r="E22" s="35">
        <v>0</v>
      </c>
      <c r="F22" s="35">
        <v>0</v>
      </c>
      <c r="G22" s="35">
        <v>0</v>
      </c>
      <c r="H22" s="35">
        <v>0</v>
      </c>
      <c r="I22" s="27">
        <f t="shared" si="1"/>
        <v>0</v>
      </c>
    </row>
    <row r="23" spans="2:9" x14ac:dyDescent="0.25">
      <c r="B23" s="26">
        <v>19</v>
      </c>
      <c r="C23" s="35">
        <v>0</v>
      </c>
      <c r="D23" s="35">
        <v>0</v>
      </c>
      <c r="E23" s="35">
        <v>0</v>
      </c>
      <c r="F23" s="35">
        <v>0</v>
      </c>
      <c r="G23" s="35">
        <v>0</v>
      </c>
      <c r="H23" s="35">
        <v>0</v>
      </c>
      <c r="I23" s="27">
        <f t="shared" si="1"/>
        <v>0</v>
      </c>
    </row>
    <row r="24" spans="2:9" x14ac:dyDescent="0.25">
      <c r="B24" s="26">
        <v>20</v>
      </c>
      <c r="C24" s="35">
        <v>0</v>
      </c>
      <c r="D24" s="35">
        <v>0</v>
      </c>
      <c r="E24" s="35">
        <v>0</v>
      </c>
      <c r="F24" s="35">
        <v>0</v>
      </c>
      <c r="G24" s="35">
        <v>0</v>
      </c>
      <c r="H24" s="35">
        <v>0</v>
      </c>
      <c r="I24" s="27">
        <f t="shared" si="1"/>
        <v>0</v>
      </c>
    </row>
    <row r="25" spans="2:9" x14ac:dyDescent="0.25">
      <c r="B25" s="26">
        <v>21</v>
      </c>
      <c r="C25" s="35">
        <v>0</v>
      </c>
      <c r="D25" s="35">
        <v>0</v>
      </c>
      <c r="E25" s="35">
        <v>0</v>
      </c>
      <c r="F25" s="35">
        <v>0</v>
      </c>
      <c r="G25" s="35">
        <v>0</v>
      </c>
      <c r="H25" s="35">
        <v>0</v>
      </c>
      <c r="I25" s="27">
        <f t="shared" si="1"/>
        <v>0</v>
      </c>
    </row>
    <row r="26" spans="2:9" x14ac:dyDescent="0.25">
      <c r="B26" s="26">
        <v>22</v>
      </c>
      <c r="C26" s="35">
        <v>0</v>
      </c>
      <c r="D26" s="35">
        <v>0</v>
      </c>
      <c r="E26" s="35">
        <v>0</v>
      </c>
      <c r="F26" s="35">
        <v>0</v>
      </c>
      <c r="G26" s="35">
        <v>0</v>
      </c>
      <c r="H26" s="35">
        <v>0</v>
      </c>
      <c r="I26" s="27">
        <f t="shared" si="1"/>
        <v>0</v>
      </c>
    </row>
    <row r="27" spans="2:9" x14ac:dyDescent="0.25">
      <c r="B27" s="26">
        <v>23</v>
      </c>
      <c r="C27" s="35">
        <v>0</v>
      </c>
      <c r="D27" s="35">
        <v>0</v>
      </c>
      <c r="E27" s="35">
        <v>0</v>
      </c>
      <c r="F27" s="35">
        <v>0</v>
      </c>
      <c r="G27" s="35">
        <v>0</v>
      </c>
      <c r="H27" s="35">
        <v>0</v>
      </c>
      <c r="I27" s="27">
        <f t="shared" si="1"/>
        <v>0</v>
      </c>
    </row>
    <row r="28" spans="2:9" x14ac:dyDescent="0.25">
      <c r="B28" s="26">
        <v>24</v>
      </c>
      <c r="C28" s="35">
        <v>0</v>
      </c>
      <c r="D28" s="35">
        <v>0</v>
      </c>
      <c r="E28" s="35">
        <v>0</v>
      </c>
      <c r="F28" s="35">
        <v>0</v>
      </c>
      <c r="G28" s="35">
        <v>0</v>
      </c>
      <c r="H28" s="35">
        <v>0</v>
      </c>
      <c r="I28" s="27">
        <f t="shared" si="1"/>
        <v>0</v>
      </c>
    </row>
    <row r="29" spans="2:9" x14ac:dyDescent="0.25">
      <c r="B29" s="26">
        <v>25</v>
      </c>
      <c r="C29" s="35">
        <v>0</v>
      </c>
      <c r="D29" s="35">
        <v>0</v>
      </c>
      <c r="E29" s="35">
        <v>0</v>
      </c>
      <c r="F29" s="35">
        <v>0</v>
      </c>
      <c r="G29" s="35">
        <v>0</v>
      </c>
      <c r="H29" s="35">
        <v>0</v>
      </c>
      <c r="I29" s="27">
        <f t="shared" si="1"/>
        <v>0</v>
      </c>
    </row>
    <row r="30" spans="2:9" x14ac:dyDescent="0.25">
      <c r="B30" s="26">
        <v>26</v>
      </c>
      <c r="C30" s="35">
        <v>0</v>
      </c>
      <c r="D30" s="35">
        <v>0</v>
      </c>
      <c r="E30" s="35">
        <v>0</v>
      </c>
      <c r="F30" s="35">
        <v>0</v>
      </c>
      <c r="G30" s="35">
        <v>0</v>
      </c>
      <c r="H30" s="35">
        <v>0</v>
      </c>
      <c r="I30" s="27">
        <f t="shared" si="1"/>
        <v>0</v>
      </c>
    </row>
    <row r="31" spans="2:9" x14ac:dyDescent="0.25">
      <c r="B31" s="26">
        <v>27</v>
      </c>
      <c r="C31" s="35">
        <v>0</v>
      </c>
      <c r="D31" s="35">
        <v>0</v>
      </c>
      <c r="E31" s="35">
        <v>0</v>
      </c>
      <c r="F31" s="35">
        <v>0</v>
      </c>
      <c r="G31" s="35">
        <v>0</v>
      </c>
      <c r="H31" s="35">
        <v>0</v>
      </c>
      <c r="I31" s="27">
        <f t="shared" si="1"/>
        <v>0</v>
      </c>
    </row>
    <row r="32" spans="2:9" x14ac:dyDescent="0.25">
      <c r="B32" s="26">
        <v>28</v>
      </c>
      <c r="C32" s="35">
        <v>0</v>
      </c>
      <c r="D32" s="35">
        <v>0</v>
      </c>
      <c r="E32" s="35">
        <v>0</v>
      </c>
      <c r="F32" s="35">
        <v>0</v>
      </c>
      <c r="G32" s="35">
        <v>0</v>
      </c>
      <c r="H32" s="35">
        <v>0</v>
      </c>
      <c r="I32" s="27">
        <f t="shared" si="1"/>
        <v>0</v>
      </c>
    </row>
    <row r="33" spans="2:9" x14ac:dyDescent="0.25">
      <c r="B33" s="26">
        <v>29</v>
      </c>
      <c r="C33" s="35">
        <v>0</v>
      </c>
      <c r="D33" s="35">
        <v>0</v>
      </c>
      <c r="E33" s="35">
        <v>0</v>
      </c>
      <c r="F33" s="35">
        <v>0</v>
      </c>
      <c r="G33" s="35">
        <v>0</v>
      </c>
      <c r="H33" s="35">
        <v>0</v>
      </c>
      <c r="I33" s="27">
        <f t="shared" si="1"/>
        <v>0</v>
      </c>
    </row>
    <row r="34" spans="2:9" x14ac:dyDescent="0.25">
      <c r="B34" s="26">
        <v>30</v>
      </c>
      <c r="C34" s="35">
        <v>0</v>
      </c>
      <c r="D34" s="35">
        <v>0</v>
      </c>
      <c r="E34" s="35">
        <v>0</v>
      </c>
      <c r="F34" s="35">
        <v>0</v>
      </c>
      <c r="G34" s="35">
        <v>0</v>
      </c>
      <c r="H34" s="35">
        <v>0</v>
      </c>
      <c r="I34" s="27">
        <f t="shared" si="1"/>
        <v>0</v>
      </c>
    </row>
    <row r="35" spans="2:9" x14ac:dyDescent="0.25">
      <c r="B35" s="26">
        <v>31</v>
      </c>
      <c r="C35" s="35">
        <v>0</v>
      </c>
      <c r="D35" s="35">
        <v>0</v>
      </c>
      <c r="E35" s="35">
        <v>0</v>
      </c>
      <c r="F35" s="35">
        <v>0</v>
      </c>
      <c r="G35" s="35">
        <v>0</v>
      </c>
      <c r="H35" s="35">
        <v>0</v>
      </c>
      <c r="I35" s="27">
        <f t="shared" si="1"/>
        <v>0</v>
      </c>
    </row>
    <row r="36" spans="2:9" ht="13.8" thickBot="1" x14ac:dyDescent="0.3">
      <c r="B36" s="28"/>
      <c r="C36" s="29"/>
      <c r="D36" s="29"/>
      <c r="E36" s="29"/>
      <c r="F36" s="29"/>
      <c r="G36" s="29"/>
      <c r="H36" s="29"/>
      <c r="I36" s="30"/>
    </row>
    <row r="37" spans="2:9" ht="13.8" thickBot="1" x14ac:dyDescent="0.3">
      <c r="B37" s="31" t="s">
        <v>7</v>
      </c>
      <c r="C37" s="32">
        <f t="shared" ref="C37:I37" si="2">SUM(C5:C35)</f>
        <v>0</v>
      </c>
      <c r="D37" s="32">
        <f t="shared" si="2"/>
        <v>0</v>
      </c>
      <c r="E37" s="32">
        <f t="shared" si="2"/>
        <v>0</v>
      </c>
      <c r="F37" s="32">
        <f t="shared" si="2"/>
        <v>0</v>
      </c>
      <c r="G37" s="32">
        <f t="shared" si="2"/>
        <v>0</v>
      </c>
      <c r="H37" s="32">
        <f t="shared" si="2"/>
        <v>0</v>
      </c>
      <c r="I37" s="32">
        <f t="shared" si="2"/>
        <v>0</v>
      </c>
    </row>
    <row r="38" spans="2:9" x14ac:dyDescent="0.25">
      <c r="B38" s="19"/>
      <c r="C38" s="18"/>
      <c r="D38" s="18"/>
      <c r="E38" s="18"/>
      <c r="F38" s="18"/>
      <c r="G38" s="18"/>
      <c r="H38" s="18"/>
      <c r="I38" s="18"/>
    </row>
    <row r="39" spans="2:9" x14ac:dyDescent="0.25">
      <c r="B39" s="19"/>
      <c r="C39" s="20" t="e">
        <f t="shared" ref="C39:H39" si="3">+C37/$I$37%</f>
        <v>#DIV/0!</v>
      </c>
      <c r="D39" s="20" t="e">
        <f t="shared" si="3"/>
        <v>#DIV/0!</v>
      </c>
      <c r="E39" s="20" t="e">
        <f t="shared" si="3"/>
        <v>#DIV/0!</v>
      </c>
      <c r="F39" s="20" t="e">
        <f t="shared" si="3"/>
        <v>#DIV/0!</v>
      </c>
      <c r="G39" s="20" t="e">
        <f t="shared" si="3"/>
        <v>#DIV/0!</v>
      </c>
      <c r="H39" s="20" t="e">
        <f t="shared" si="3"/>
        <v>#DIV/0!</v>
      </c>
      <c r="I39" s="20" t="e">
        <f>SUM(C39+D39+E39+F39+G39+H39)</f>
        <v>#DIV/0!</v>
      </c>
    </row>
    <row r="40" spans="2:9" x14ac:dyDescent="0.25">
      <c r="B40" s="2"/>
    </row>
    <row r="41" spans="2:9" x14ac:dyDescent="0.25">
      <c r="B41" s="2"/>
      <c r="C41" s="3"/>
      <c r="D41" s="3"/>
      <c r="E41" s="3"/>
      <c r="F41" s="3"/>
      <c r="G41" s="3"/>
      <c r="H41" s="3"/>
      <c r="I41" s="3"/>
    </row>
    <row r="42" spans="2:9" x14ac:dyDescent="0.25">
      <c r="B42" s="2"/>
      <c r="C42" s="3"/>
      <c r="D42" s="3"/>
      <c r="E42" s="3"/>
      <c r="F42" s="3"/>
      <c r="G42" s="3"/>
      <c r="H42" s="3"/>
      <c r="I42" s="3"/>
    </row>
    <row r="43" spans="2:9" x14ac:dyDescent="0.25">
      <c r="B43" s="2"/>
      <c r="C43" s="3"/>
      <c r="D43" s="3"/>
      <c r="E43" s="3"/>
      <c r="F43" s="3"/>
      <c r="G43" s="3"/>
      <c r="H43" s="3"/>
      <c r="I43" s="3"/>
    </row>
    <row r="44" spans="2:9" x14ac:dyDescent="0.25">
      <c r="B44" s="2"/>
      <c r="C44" s="3"/>
      <c r="D44" s="3"/>
      <c r="E44" s="3"/>
      <c r="F44" s="3"/>
      <c r="G44" s="3"/>
      <c r="H44" s="3"/>
      <c r="I44" s="3"/>
    </row>
    <row r="45" spans="2:9" x14ac:dyDescent="0.25">
      <c r="B45" s="2"/>
      <c r="C45" s="3"/>
      <c r="D45" s="3"/>
      <c r="E45" s="3"/>
      <c r="F45" s="3"/>
      <c r="G45" s="3"/>
      <c r="H45" s="3"/>
      <c r="I45" s="3"/>
    </row>
    <row r="46" spans="2:9" x14ac:dyDescent="0.25">
      <c r="B46" s="2"/>
      <c r="C46" s="3"/>
      <c r="D46" s="3"/>
      <c r="E46" s="3"/>
      <c r="F46" s="3"/>
      <c r="G46" s="3"/>
      <c r="H46" s="3"/>
      <c r="I46" s="3"/>
    </row>
    <row r="47" spans="2:9" x14ac:dyDescent="0.25">
      <c r="B47" s="2"/>
      <c r="C47" s="3"/>
      <c r="D47" s="3"/>
      <c r="E47" s="3"/>
      <c r="F47" s="3"/>
      <c r="G47" s="3"/>
      <c r="H47" s="3"/>
      <c r="I47" s="3"/>
    </row>
    <row r="48" spans="2:9" x14ac:dyDescent="0.25">
      <c r="B48" s="2"/>
      <c r="C48" s="3"/>
      <c r="D48" s="3"/>
      <c r="E48" s="3"/>
      <c r="F48" s="3"/>
      <c r="G48" s="3"/>
      <c r="H48" s="3"/>
      <c r="I48" s="3"/>
    </row>
    <row r="49" spans="2:9" x14ac:dyDescent="0.25">
      <c r="B49" s="2"/>
      <c r="C49" s="3"/>
      <c r="D49" s="3"/>
      <c r="E49" s="3"/>
      <c r="F49" s="3"/>
      <c r="G49" s="3"/>
      <c r="H49" s="3"/>
      <c r="I49" s="3"/>
    </row>
    <row r="50" spans="2:9" x14ac:dyDescent="0.25">
      <c r="B50" s="2"/>
      <c r="C50" s="3"/>
      <c r="D50" s="3"/>
      <c r="E50" s="3"/>
      <c r="F50" s="3"/>
      <c r="G50" s="3"/>
      <c r="H50" s="3"/>
      <c r="I50" s="3"/>
    </row>
    <row r="51" spans="2:9" x14ac:dyDescent="0.25">
      <c r="B51" s="2"/>
      <c r="C51" s="3"/>
      <c r="D51" s="3"/>
      <c r="E51" s="3"/>
      <c r="F51" s="3"/>
      <c r="G51" s="3"/>
      <c r="H51" s="3"/>
      <c r="I51" s="3"/>
    </row>
    <row r="52" spans="2:9" x14ac:dyDescent="0.25">
      <c r="B52" s="2"/>
      <c r="C52" s="3"/>
      <c r="D52" s="3"/>
      <c r="E52" s="3"/>
      <c r="F52" s="3"/>
      <c r="G52" s="3"/>
      <c r="H52" s="3"/>
      <c r="I52" s="3"/>
    </row>
    <row r="53" spans="2:9" x14ac:dyDescent="0.25">
      <c r="B53" s="2"/>
      <c r="C53" s="3"/>
      <c r="D53" s="3"/>
      <c r="E53" s="3"/>
      <c r="F53" s="3"/>
      <c r="G53" s="3"/>
      <c r="H53" s="3"/>
      <c r="I53" s="3"/>
    </row>
    <row r="54" spans="2:9" x14ac:dyDescent="0.25">
      <c r="B54" s="2"/>
      <c r="C54" s="3"/>
      <c r="D54" s="3"/>
      <c r="E54" s="3"/>
      <c r="F54" s="3"/>
      <c r="G54" s="3"/>
      <c r="H54" s="3"/>
      <c r="I54" s="3"/>
    </row>
    <row r="55" spans="2:9" x14ac:dyDescent="0.25">
      <c r="B55" s="2"/>
      <c r="C55" s="3"/>
      <c r="D55" s="3"/>
      <c r="E55" s="3"/>
      <c r="F55" s="3"/>
      <c r="G55" s="3"/>
      <c r="H55" s="3"/>
      <c r="I55" s="3"/>
    </row>
    <row r="56" spans="2:9" x14ac:dyDescent="0.25">
      <c r="B56" s="2"/>
      <c r="C56" s="3"/>
      <c r="D56" s="3"/>
      <c r="E56" s="3"/>
      <c r="F56" s="3"/>
      <c r="G56" s="3"/>
      <c r="H56" s="3"/>
      <c r="I56" s="3"/>
    </row>
    <row r="57" spans="2:9" x14ac:dyDescent="0.25">
      <c r="B57" s="2"/>
      <c r="C57" s="3"/>
      <c r="D57" s="3"/>
      <c r="E57" s="3"/>
      <c r="F57" s="3"/>
      <c r="G57" s="3"/>
      <c r="H57" s="3"/>
      <c r="I57" s="3"/>
    </row>
    <row r="58" spans="2:9" x14ac:dyDescent="0.25">
      <c r="B58" s="2"/>
      <c r="C58" s="3"/>
      <c r="D58" s="3"/>
      <c r="E58" s="3"/>
      <c r="F58" s="3"/>
      <c r="G58" s="3"/>
      <c r="H58" s="3"/>
      <c r="I58" s="3"/>
    </row>
    <row r="59" spans="2:9" x14ac:dyDescent="0.25">
      <c r="B59" s="2"/>
      <c r="C59" s="3"/>
      <c r="D59" s="3"/>
      <c r="E59" s="3"/>
      <c r="F59" s="3"/>
      <c r="G59" s="3"/>
      <c r="H59" s="3"/>
      <c r="I59" s="3"/>
    </row>
  </sheetData>
  <sheetProtection sheet="1" objects="1" scenarios="1" selectLockedCells="1"/>
  <customSheetViews>
    <customSheetView guid="{E9A9889A-61F5-47D0-A5C6-BF43493EDD61}" showGridLines="0" showRowCol="0">
      <selection activeCell="C5" sqref="C5"/>
    </customSheetView>
    <customSheetView guid="{505FDB09-1B2F-4C19-8222-6158EDD21A0E}" showGridLines="0" showRowCol="0">
      <selection activeCell="C5" sqref="C5"/>
    </customSheetView>
    <customSheetView guid="{7982FB7F-E997-4C70-8B2B-B628B46385D2}" showGridLines="0" showRowCol="0">
      <selection activeCell="C5" sqref="C5"/>
    </customSheetView>
  </customSheetViews>
  <mergeCells count="2">
    <mergeCell ref="B2:I2"/>
    <mergeCell ref="B3:I3"/>
  </mergeCells>
  <printOptions gridLinesSet="0"/>
  <pageMargins left="1.19" right="0.35433070866141736" top="0.74803149606299213" bottom="0.78740157480314965" header="0.27559055118110237" footer="0"/>
  <pageSetup paperSize="9" scale="105" orientation="portrait" horizontalDpi="3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ight">
    <pageSetUpPr autoPageBreaks="0"/>
  </sheetPr>
  <dimension ref="B1:N56"/>
  <sheetViews>
    <sheetView showGridLines="0" showRowColHeaders="0" topLeftCell="A19" zoomScale="70" zoomScaleNormal="85" workbookViewId="0">
      <selection activeCell="M13" sqref="M13"/>
    </sheetView>
  </sheetViews>
  <sheetFormatPr defaultColWidth="9.109375" defaultRowHeight="15" x14ac:dyDescent="0.25"/>
  <cols>
    <col min="1" max="1" width="9.109375" style="38"/>
    <col min="2" max="2" width="8" style="38" customWidth="1"/>
    <col min="3" max="7" width="7.33203125" style="38" customWidth="1"/>
    <col min="8" max="8" width="10.6640625" style="38" customWidth="1"/>
    <col min="9" max="9" width="12.6640625" style="38" customWidth="1"/>
    <col min="10" max="10" width="13.109375" style="38" customWidth="1"/>
    <col min="11" max="14" width="10.6640625" style="49" customWidth="1"/>
    <col min="15" max="16384" width="9.109375" style="38"/>
  </cols>
  <sheetData>
    <row r="1" spans="2:14" ht="15.6" thickBot="1" x14ac:dyDescent="0.3"/>
    <row r="2" spans="2:14" ht="15.6" x14ac:dyDescent="0.3">
      <c r="B2" s="369" t="str">
        <f>"VEHICLES PASSING THROUGH " &amp; Location &amp; " - MIDNIGHT SHIFT "</f>
        <v xml:space="preserve">VEHICLES PASSING THROUGH OODLA WIRRA - MIDNIGHT SHIFT </v>
      </c>
      <c r="C2" s="356"/>
      <c r="D2" s="356"/>
      <c r="E2" s="356"/>
      <c r="F2" s="356"/>
      <c r="G2" s="356"/>
      <c r="H2" s="356"/>
      <c r="I2" s="356"/>
      <c r="J2" s="356"/>
      <c r="K2" s="356"/>
      <c r="L2" s="356"/>
      <c r="M2" s="356"/>
      <c r="N2" s="375"/>
    </row>
    <row r="3" spans="2:14" ht="16.2" thickBot="1" x14ac:dyDescent="0.3">
      <c r="B3" s="366" t="str">
        <f>Month &amp; " " &amp; Year</f>
        <v>November 2017</v>
      </c>
      <c r="C3" s="367"/>
      <c r="D3" s="367"/>
      <c r="E3" s="367"/>
      <c r="F3" s="367"/>
      <c r="G3" s="367"/>
      <c r="H3" s="367"/>
      <c r="I3" s="367"/>
      <c r="J3" s="367"/>
      <c r="K3" s="367"/>
      <c r="L3" s="367"/>
      <c r="M3" s="367"/>
      <c r="N3" s="368"/>
    </row>
    <row r="4" spans="2:14" s="50" customFormat="1" ht="58.5" customHeight="1" thickBot="1" x14ac:dyDescent="0.3">
      <c r="B4" s="33" t="s">
        <v>0</v>
      </c>
      <c r="C4" s="33" t="s">
        <v>1</v>
      </c>
      <c r="D4" s="33" t="s">
        <v>2</v>
      </c>
      <c r="E4" s="33" t="s">
        <v>3</v>
      </c>
      <c r="F4" s="33" t="s">
        <v>4</v>
      </c>
      <c r="G4" s="33" t="s">
        <v>5</v>
      </c>
      <c r="H4" s="33" t="s">
        <v>6</v>
      </c>
      <c r="I4" s="198" t="s">
        <v>111</v>
      </c>
      <c r="J4" s="198" t="s">
        <v>110</v>
      </c>
      <c r="K4" s="198" t="s">
        <v>62</v>
      </c>
      <c r="L4" s="33" t="s">
        <v>15</v>
      </c>
      <c r="M4" s="33" t="s">
        <v>21</v>
      </c>
      <c r="N4" s="33" t="s">
        <v>22</v>
      </c>
    </row>
    <row r="5" spans="2:14" ht="15.6" x14ac:dyDescent="0.3">
      <c r="B5" s="40">
        <v>1</v>
      </c>
      <c r="C5" s="41">
        <v>0</v>
      </c>
      <c r="D5" s="41">
        <v>0</v>
      </c>
      <c r="E5" s="41">
        <v>0</v>
      </c>
      <c r="F5" s="41">
        <v>0</v>
      </c>
      <c r="G5" s="41">
        <v>0</v>
      </c>
      <c r="H5" s="312">
        <v>0</v>
      </c>
      <c r="I5" s="317">
        <f t="shared" ref="I5:I35" si="0">SUM(C5:H5)</f>
        <v>0</v>
      </c>
      <c r="J5" s="315">
        <v>0</v>
      </c>
      <c r="K5" s="41">
        <v>0</v>
      </c>
      <c r="L5" s="41">
        <v>0</v>
      </c>
      <c r="M5" s="315">
        <v>0</v>
      </c>
      <c r="N5" s="52">
        <v>0</v>
      </c>
    </row>
    <row r="6" spans="2:14" ht="15.6" x14ac:dyDescent="0.3">
      <c r="B6" s="43">
        <v>2</v>
      </c>
      <c r="C6" s="44">
        <v>0</v>
      </c>
      <c r="D6" s="44">
        <v>0</v>
      </c>
      <c r="E6" s="44">
        <v>0</v>
      </c>
      <c r="F6" s="44">
        <v>0</v>
      </c>
      <c r="G6" s="44">
        <v>0</v>
      </c>
      <c r="H6" s="313">
        <v>0</v>
      </c>
      <c r="I6" s="318">
        <f t="shared" si="0"/>
        <v>0</v>
      </c>
      <c r="J6" s="316">
        <v>0</v>
      </c>
      <c r="K6" s="44">
        <v>0</v>
      </c>
      <c r="L6" s="311">
        <v>0</v>
      </c>
      <c r="M6" s="316">
        <v>0</v>
      </c>
      <c r="N6" s="53">
        <v>0</v>
      </c>
    </row>
    <row r="7" spans="2:14" ht="15.6" x14ac:dyDescent="0.3">
      <c r="B7" s="43">
        <v>3</v>
      </c>
      <c r="C7" s="44">
        <v>0</v>
      </c>
      <c r="D7" s="44">
        <v>0</v>
      </c>
      <c r="E7" s="44">
        <v>0</v>
      </c>
      <c r="F7" s="44">
        <v>0</v>
      </c>
      <c r="G7" s="44">
        <v>0</v>
      </c>
      <c r="H7" s="313">
        <v>0</v>
      </c>
      <c r="I7" s="318">
        <f t="shared" si="0"/>
        <v>0</v>
      </c>
      <c r="J7" s="316">
        <v>0</v>
      </c>
      <c r="K7" s="44">
        <v>0</v>
      </c>
      <c r="L7" s="311">
        <v>0</v>
      </c>
      <c r="M7" s="316">
        <v>0</v>
      </c>
      <c r="N7" s="53">
        <v>0</v>
      </c>
    </row>
    <row r="8" spans="2:14" ht="15.6" x14ac:dyDescent="0.3">
      <c r="B8" s="43">
        <v>4</v>
      </c>
      <c r="C8" s="44">
        <v>0</v>
      </c>
      <c r="D8" s="44">
        <v>0</v>
      </c>
      <c r="E8" s="44">
        <v>0</v>
      </c>
      <c r="F8" s="44">
        <v>0</v>
      </c>
      <c r="G8" s="44">
        <v>0</v>
      </c>
      <c r="H8" s="313">
        <v>0</v>
      </c>
      <c r="I8" s="318">
        <f t="shared" si="0"/>
        <v>0</v>
      </c>
      <c r="J8" s="316">
        <v>0</v>
      </c>
      <c r="K8" s="44">
        <v>0</v>
      </c>
      <c r="L8" s="311">
        <v>0</v>
      </c>
      <c r="M8" s="316">
        <v>0</v>
      </c>
      <c r="N8" s="53">
        <v>0</v>
      </c>
    </row>
    <row r="9" spans="2:14" ht="15.6" x14ac:dyDescent="0.3">
      <c r="B9" s="43">
        <v>5</v>
      </c>
      <c r="C9" s="44">
        <v>0</v>
      </c>
      <c r="D9" s="44">
        <v>0</v>
      </c>
      <c r="E9" s="44">
        <v>0</v>
      </c>
      <c r="F9" s="44">
        <v>0</v>
      </c>
      <c r="G9" s="44">
        <v>0</v>
      </c>
      <c r="H9" s="313">
        <v>0</v>
      </c>
      <c r="I9" s="318">
        <f t="shared" si="0"/>
        <v>0</v>
      </c>
      <c r="J9" s="316">
        <v>0</v>
      </c>
      <c r="K9" s="44">
        <v>0</v>
      </c>
      <c r="L9" s="311">
        <v>0</v>
      </c>
      <c r="M9" s="316">
        <v>0</v>
      </c>
      <c r="N9" s="53">
        <v>0</v>
      </c>
    </row>
    <row r="10" spans="2:14" ht="15.6" x14ac:dyDescent="0.3">
      <c r="B10" s="43">
        <v>6</v>
      </c>
      <c r="C10" s="44">
        <v>0</v>
      </c>
      <c r="D10" s="44">
        <v>0</v>
      </c>
      <c r="E10" s="44">
        <v>0</v>
      </c>
      <c r="F10" s="44">
        <v>0</v>
      </c>
      <c r="G10" s="44">
        <v>0</v>
      </c>
      <c r="H10" s="313">
        <v>0</v>
      </c>
      <c r="I10" s="318">
        <f t="shared" si="0"/>
        <v>0</v>
      </c>
      <c r="J10" s="316">
        <v>0</v>
      </c>
      <c r="K10" s="44">
        <v>0</v>
      </c>
      <c r="L10" s="311">
        <v>0</v>
      </c>
      <c r="M10" s="316">
        <v>0</v>
      </c>
      <c r="N10" s="53">
        <v>0</v>
      </c>
    </row>
    <row r="11" spans="2:14" ht="15.6" x14ac:dyDescent="0.3">
      <c r="B11" s="43">
        <v>7</v>
      </c>
      <c r="C11" s="44">
        <v>0</v>
      </c>
      <c r="D11" s="44">
        <v>0</v>
      </c>
      <c r="E11" s="44">
        <v>0</v>
      </c>
      <c r="F11" s="44">
        <v>0</v>
      </c>
      <c r="G11" s="44">
        <v>0</v>
      </c>
      <c r="H11" s="313">
        <v>0</v>
      </c>
      <c r="I11" s="318">
        <f t="shared" si="0"/>
        <v>0</v>
      </c>
      <c r="J11" s="316">
        <v>0</v>
      </c>
      <c r="K11" s="44">
        <v>0</v>
      </c>
      <c r="L11" s="311">
        <v>0</v>
      </c>
      <c r="M11" s="316">
        <v>0</v>
      </c>
      <c r="N11" s="53">
        <v>0</v>
      </c>
    </row>
    <row r="12" spans="2:14" ht="15.6" x14ac:dyDescent="0.3">
      <c r="B12" s="43">
        <v>8</v>
      </c>
      <c r="C12" s="44">
        <v>0</v>
      </c>
      <c r="D12" s="44">
        <v>0</v>
      </c>
      <c r="E12" s="44">
        <v>0</v>
      </c>
      <c r="F12" s="44">
        <v>0</v>
      </c>
      <c r="G12" s="44">
        <v>0</v>
      </c>
      <c r="H12" s="313">
        <v>0</v>
      </c>
      <c r="I12" s="318">
        <f t="shared" si="0"/>
        <v>0</v>
      </c>
      <c r="J12" s="316">
        <v>0</v>
      </c>
      <c r="K12" s="44">
        <v>0</v>
      </c>
      <c r="L12" s="311">
        <v>0</v>
      </c>
      <c r="M12" s="316">
        <v>0</v>
      </c>
      <c r="N12" s="53">
        <v>0</v>
      </c>
    </row>
    <row r="13" spans="2:14" ht="15.6" x14ac:dyDescent="0.3">
      <c r="B13" s="43">
        <v>9</v>
      </c>
      <c r="C13" s="44">
        <v>0</v>
      </c>
      <c r="D13" s="44">
        <v>0</v>
      </c>
      <c r="E13" s="44">
        <v>0</v>
      </c>
      <c r="F13" s="44">
        <v>0</v>
      </c>
      <c r="G13" s="44">
        <v>0</v>
      </c>
      <c r="H13" s="313">
        <v>0</v>
      </c>
      <c r="I13" s="318">
        <f t="shared" si="0"/>
        <v>0</v>
      </c>
      <c r="J13" s="316">
        <v>0</v>
      </c>
      <c r="K13" s="44">
        <v>0</v>
      </c>
      <c r="L13" s="311">
        <v>0</v>
      </c>
      <c r="M13" s="316">
        <v>0</v>
      </c>
      <c r="N13" s="53">
        <v>0</v>
      </c>
    </row>
    <row r="14" spans="2:14" ht="15.6" x14ac:dyDescent="0.3">
      <c r="B14" s="43">
        <v>10</v>
      </c>
      <c r="C14" s="44">
        <v>0</v>
      </c>
      <c r="D14" s="44">
        <v>0</v>
      </c>
      <c r="E14" s="44">
        <v>0</v>
      </c>
      <c r="F14" s="44">
        <v>0</v>
      </c>
      <c r="G14" s="44">
        <v>0</v>
      </c>
      <c r="H14" s="313">
        <v>0</v>
      </c>
      <c r="I14" s="318">
        <f t="shared" si="0"/>
        <v>0</v>
      </c>
      <c r="J14" s="316">
        <v>0</v>
      </c>
      <c r="K14" s="44">
        <v>0</v>
      </c>
      <c r="L14" s="311">
        <v>0</v>
      </c>
      <c r="M14" s="316">
        <v>0</v>
      </c>
      <c r="N14" s="53">
        <v>0</v>
      </c>
    </row>
    <row r="15" spans="2:14" ht="15.6" x14ac:dyDescent="0.3">
      <c r="B15" s="43">
        <v>11</v>
      </c>
      <c r="C15" s="44">
        <v>0</v>
      </c>
      <c r="D15" s="44">
        <v>0</v>
      </c>
      <c r="E15" s="44">
        <v>0</v>
      </c>
      <c r="F15" s="44">
        <v>0</v>
      </c>
      <c r="G15" s="44">
        <v>0</v>
      </c>
      <c r="H15" s="313">
        <v>0</v>
      </c>
      <c r="I15" s="318">
        <f t="shared" si="0"/>
        <v>0</v>
      </c>
      <c r="J15" s="316">
        <v>0</v>
      </c>
      <c r="K15" s="44">
        <v>0</v>
      </c>
      <c r="L15" s="311">
        <v>0</v>
      </c>
      <c r="M15" s="316">
        <v>0</v>
      </c>
      <c r="N15" s="53">
        <v>0</v>
      </c>
    </row>
    <row r="16" spans="2:14" ht="15.6" x14ac:dyDescent="0.3">
      <c r="B16" s="43">
        <v>12</v>
      </c>
      <c r="C16" s="44">
        <v>0</v>
      </c>
      <c r="D16" s="44">
        <v>0</v>
      </c>
      <c r="E16" s="44">
        <v>0</v>
      </c>
      <c r="F16" s="44">
        <v>0</v>
      </c>
      <c r="G16" s="44">
        <v>0</v>
      </c>
      <c r="H16" s="313">
        <v>0</v>
      </c>
      <c r="I16" s="318">
        <f t="shared" si="0"/>
        <v>0</v>
      </c>
      <c r="J16" s="316">
        <v>0</v>
      </c>
      <c r="K16" s="44">
        <v>0</v>
      </c>
      <c r="L16" s="311">
        <v>0</v>
      </c>
      <c r="M16" s="316">
        <v>0</v>
      </c>
      <c r="N16" s="53">
        <v>0</v>
      </c>
    </row>
    <row r="17" spans="2:14" ht="15.6" x14ac:dyDescent="0.3">
      <c r="B17" s="43">
        <v>13</v>
      </c>
      <c r="C17" s="44">
        <v>0</v>
      </c>
      <c r="D17" s="44">
        <v>0</v>
      </c>
      <c r="E17" s="44">
        <v>0</v>
      </c>
      <c r="F17" s="44">
        <v>0</v>
      </c>
      <c r="G17" s="44">
        <v>0</v>
      </c>
      <c r="H17" s="313">
        <v>0</v>
      </c>
      <c r="I17" s="318">
        <f t="shared" si="0"/>
        <v>0</v>
      </c>
      <c r="J17" s="316">
        <v>0</v>
      </c>
      <c r="K17" s="44">
        <v>0</v>
      </c>
      <c r="L17" s="311">
        <v>0</v>
      </c>
      <c r="M17" s="316">
        <v>0</v>
      </c>
      <c r="N17" s="53">
        <v>0</v>
      </c>
    </row>
    <row r="18" spans="2:14" ht="15.6" x14ac:dyDescent="0.3">
      <c r="B18" s="43">
        <v>14</v>
      </c>
      <c r="C18" s="44">
        <v>0</v>
      </c>
      <c r="D18" s="44">
        <v>0</v>
      </c>
      <c r="E18" s="44">
        <v>0</v>
      </c>
      <c r="F18" s="44">
        <v>0</v>
      </c>
      <c r="G18" s="44">
        <v>0</v>
      </c>
      <c r="H18" s="313">
        <v>0</v>
      </c>
      <c r="I18" s="318">
        <f t="shared" si="0"/>
        <v>0</v>
      </c>
      <c r="J18" s="316">
        <v>0</v>
      </c>
      <c r="K18" s="44">
        <v>0</v>
      </c>
      <c r="L18" s="311">
        <v>0</v>
      </c>
      <c r="M18" s="316">
        <v>0</v>
      </c>
      <c r="N18" s="53">
        <v>0</v>
      </c>
    </row>
    <row r="19" spans="2:14" ht="15.6" x14ac:dyDescent="0.3">
      <c r="B19" s="43">
        <v>15</v>
      </c>
      <c r="C19" s="44">
        <v>0</v>
      </c>
      <c r="D19" s="44">
        <v>0</v>
      </c>
      <c r="E19" s="44">
        <v>0</v>
      </c>
      <c r="F19" s="44">
        <v>0</v>
      </c>
      <c r="G19" s="44">
        <v>0</v>
      </c>
      <c r="H19" s="313">
        <v>0</v>
      </c>
      <c r="I19" s="318">
        <f t="shared" si="0"/>
        <v>0</v>
      </c>
      <c r="J19" s="316">
        <v>0</v>
      </c>
      <c r="K19" s="44">
        <v>0</v>
      </c>
      <c r="L19" s="311">
        <v>0</v>
      </c>
      <c r="M19" s="316">
        <v>0</v>
      </c>
      <c r="N19" s="53">
        <v>0</v>
      </c>
    </row>
    <row r="20" spans="2:14" ht="15.6" x14ac:dyDescent="0.3">
      <c r="B20" s="43">
        <v>16</v>
      </c>
      <c r="C20" s="44">
        <v>0</v>
      </c>
      <c r="D20" s="44">
        <v>0</v>
      </c>
      <c r="E20" s="44">
        <v>0</v>
      </c>
      <c r="F20" s="44">
        <v>0</v>
      </c>
      <c r="G20" s="44">
        <v>0</v>
      </c>
      <c r="H20" s="313">
        <v>0</v>
      </c>
      <c r="I20" s="318">
        <f t="shared" si="0"/>
        <v>0</v>
      </c>
      <c r="J20" s="316">
        <v>0</v>
      </c>
      <c r="K20" s="44">
        <v>0</v>
      </c>
      <c r="L20" s="311">
        <v>0</v>
      </c>
      <c r="M20" s="316">
        <v>0</v>
      </c>
      <c r="N20" s="53">
        <v>0</v>
      </c>
    </row>
    <row r="21" spans="2:14" ht="15.6" x14ac:dyDescent="0.3">
      <c r="B21" s="43">
        <v>17</v>
      </c>
      <c r="C21" s="44">
        <v>0</v>
      </c>
      <c r="D21" s="44">
        <v>0</v>
      </c>
      <c r="E21" s="44">
        <v>0</v>
      </c>
      <c r="F21" s="44">
        <v>0</v>
      </c>
      <c r="G21" s="44">
        <v>0</v>
      </c>
      <c r="H21" s="313">
        <v>0</v>
      </c>
      <c r="I21" s="318">
        <f t="shared" si="0"/>
        <v>0</v>
      </c>
      <c r="J21" s="316">
        <v>0</v>
      </c>
      <c r="K21" s="44">
        <v>0</v>
      </c>
      <c r="L21" s="311">
        <v>0</v>
      </c>
      <c r="M21" s="316">
        <v>0</v>
      </c>
      <c r="N21" s="53">
        <v>0</v>
      </c>
    </row>
    <row r="22" spans="2:14" ht="15.6" x14ac:dyDescent="0.3">
      <c r="B22" s="43">
        <v>18</v>
      </c>
      <c r="C22" s="44">
        <v>0</v>
      </c>
      <c r="D22" s="44">
        <v>0</v>
      </c>
      <c r="E22" s="44">
        <v>0</v>
      </c>
      <c r="F22" s="44">
        <v>0</v>
      </c>
      <c r="G22" s="44">
        <v>0</v>
      </c>
      <c r="H22" s="313">
        <v>0</v>
      </c>
      <c r="I22" s="318">
        <f t="shared" si="0"/>
        <v>0</v>
      </c>
      <c r="J22" s="316">
        <v>0</v>
      </c>
      <c r="K22" s="44">
        <v>0</v>
      </c>
      <c r="L22" s="311">
        <v>0</v>
      </c>
      <c r="M22" s="316">
        <v>0</v>
      </c>
      <c r="N22" s="53">
        <v>0</v>
      </c>
    </row>
    <row r="23" spans="2:14" ht="15.6" x14ac:dyDescent="0.3">
      <c r="B23" s="43">
        <v>19</v>
      </c>
      <c r="C23" s="44">
        <v>0</v>
      </c>
      <c r="D23" s="44">
        <v>0</v>
      </c>
      <c r="E23" s="44">
        <v>0</v>
      </c>
      <c r="F23" s="44">
        <v>0</v>
      </c>
      <c r="G23" s="44">
        <v>0</v>
      </c>
      <c r="H23" s="313">
        <v>0</v>
      </c>
      <c r="I23" s="318">
        <f t="shared" si="0"/>
        <v>0</v>
      </c>
      <c r="J23" s="316">
        <v>0</v>
      </c>
      <c r="K23" s="44">
        <v>0</v>
      </c>
      <c r="L23" s="311">
        <v>0</v>
      </c>
      <c r="M23" s="316">
        <v>0</v>
      </c>
      <c r="N23" s="53">
        <v>0</v>
      </c>
    </row>
    <row r="24" spans="2:14" ht="15.6" x14ac:dyDescent="0.3">
      <c r="B24" s="43">
        <v>20</v>
      </c>
      <c r="C24" s="44">
        <v>0</v>
      </c>
      <c r="D24" s="44">
        <v>0</v>
      </c>
      <c r="E24" s="44">
        <v>0</v>
      </c>
      <c r="F24" s="44">
        <v>0</v>
      </c>
      <c r="G24" s="44">
        <v>0</v>
      </c>
      <c r="H24" s="313">
        <v>0</v>
      </c>
      <c r="I24" s="318">
        <f t="shared" si="0"/>
        <v>0</v>
      </c>
      <c r="J24" s="316">
        <v>0</v>
      </c>
      <c r="K24" s="44">
        <v>0</v>
      </c>
      <c r="L24" s="311">
        <v>0</v>
      </c>
      <c r="M24" s="316">
        <v>0</v>
      </c>
      <c r="N24" s="53">
        <v>0</v>
      </c>
    </row>
    <row r="25" spans="2:14" ht="15.6" x14ac:dyDescent="0.3">
      <c r="B25" s="43">
        <v>21</v>
      </c>
      <c r="C25" s="44">
        <v>0</v>
      </c>
      <c r="D25" s="44">
        <v>0</v>
      </c>
      <c r="E25" s="44">
        <v>0</v>
      </c>
      <c r="F25" s="44">
        <v>0</v>
      </c>
      <c r="G25" s="44">
        <v>0</v>
      </c>
      <c r="H25" s="313">
        <v>0</v>
      </c>
      <c r="I25" s="318">
        <f t="shared" si="0"/>
        <v>0</v>
      </c>
      <c r="J25" s="316">
        <v>0</v>
      </c>
      <c r="K25" s="44">
        <v>0</v>
      </c>
      <c r="L25" s="311">
        <v>0</v>
      </c>
      <c r="M25" s="316">
        <v>0</v>
      </c>
      <c r="N25" s="53">
        <v>0</v>
      </c>
    </row>
    <row r="26" spans="2:14" ht="15.6" x14ac:dyDescent="0.3">
      <c r="B26" s="43">
        <v>22</v>
      </c>
      <c r="C26" s="44">
        <v>0</v>
      </c>
      <c r="D26" s="44">
        <v>0</v>
      </c>
      <c r="E26" s="44">
        <v>0</v>
      </c>
      <c r="F26" s="44">
        <v>0</v>
      </c>
      <c r="G26" s="44">
        <v>0</v>
      </c>
      <c r="H26" s="313">
        <v>0</v>
      </c>
      <c r="I26" s="318">
        <f t="shared" si="0"/>
        <v>0</v>
      </c>
      <c r="J26" s="316">
        <v>0</v>
      </c>
      <c r="K26" s="44">
        <v>0</v>
      </c>
      <c r="L26" s="311">
        <v>0</v>
      </c>
      <c r="M26" s="316">
        <v>0</v>
      </c>
      <c r="N26" s="53">
        <v>0</v>
      </c>
    </row>
    <row r="27" spans="2:14" ht="15.6" x14ac:dyDescent="0.3">
      <c r="B27" s="43">
        <v>23</v>
      </c>
      <c r="C27" s="44">
        <v>0</v>
      </c>
      <c r="D27" s="44">
        <v>0</v>
      </c>
      <c r="E27" s="44">
        <v>0</v>
      </c>
      <c r="F27" s="44">
        <v>0</v>
      </c>
      <c r="G27" s="44">
        <v>0</v>
      </c>
      <c r="H27" s="313">
        <v>0</v>
      </c>
      <c r="I27" s="318">
        <f t="shared" si="0"/>
        <v>0</v>
      </c>
      <c r="J27" s="316">
        <v>0</v>
      </c>
      <c r="K27" s="44">
        <v>0</v>
      </c>
      <c r="L27" s="311">
        <v>0</v>
      </c>
      <c r="M27" s="316">
        <v>0</v>
      </c>
      <c r="N27" s="53">
        <v>0</v>
      </c>
    </row>
    <row r="28" spans="2:14" ht="15.6" x14ac:dyDescent="0.3">
      <c r="B28" s="43">
        <v>24</v>
      </c>
      <c r="C28" s="44">
        <v>0</v>
      </c>
      <c r="D28" s="44">
        <v>0</v>
      </c>
      <c r="E28" s="44">
        <v>0</v>
      </c>
      <c r="F28" s="44">
        <v>0</v>
      </c>
      <c r="G28" s="44">
        <v>0</v>
      </c>
      <c r="H28" s="313">
        <v>0</v>
      </c>
      <c r="I28" s="318">
        <f t="shared" si="0"/>
        <v>0</v>
      </c>
      <c r="J28" s="316">
        <v>0</v>
      </c>
      <c r="K28" s="44">
        <v>0</v>
      </c>
      <c r="L28" s="311">
        <v>0</v>
      </c>
      <c r="M28" s="316">
        <v>0</v>
      </c>
      <c r="N28" s="53">
        <v>0</v>
      </c>
    </row>
    <row r="29" spans="2:14" ht="15.6" x14ac:dyDescent="0.3">
      <c r="B29" s="43">
        <v>25</v>
      </c>
      <c r="C29" s="44">
        <v>0</v>
      </c>
      <c r="D29" s="44">
        <v>0</v>
      </c>
      <c r="E29" s="44">
        <v>0</v>
      </c>
      <c r="F29" s="44">
        <v>0</v>
      </c>
      <c r="G29" s="44">
        <v>0</v>
      </c>
      <c r="H29" s="313">
        <v>0</v>
      </c>
      <c r="I29" s="318">
        <f t="shared" si="0"/>
        <v>0</v>
      </c>
      <c r="J29" s="316">
        <v>0</v>
      </c>
      <c r="K29" s="44">
        <v>0</v>
      </c>
      <c r="L29" s="311">
        <v>0</v>
      </c>
      <c r="M29" s="316">
        <v>0</v>
      </c>
      <c r="N29" s="53">
        <v>0</v>
      </c>
    </row>
    <row r="30" spans="2:14" ht="15.6" x14ac:dyDescent="0.3">
      <c r="B30" s="43">
        <v>26</v>
      </c>
      <c r="C30" s="44">
        <v>0</v>
      </c>
      <c r="D30" s="44">
        <v>0</v>
      </c>
      <c r="E30" s="44">
        <v>0</v>
      </c>
      <c r="F30" s="44">
        <v>0</v>
      </c>
      <c r="G30" s="44">
        <v>0</v>
      </c>
      <c r="H30" s="313">
        <v>0</v>
      </c>
      <c r="I30" s="318">
        <f t="shared" si="0"/>
        <v>0</v>
      </c>
      <c r="J30" s="316">
        <v>0</v>
      </c>
      <c r="K30" s="44">
        <v>0</v>
      </c>
      <c r="L30" s="311">
        <v>0</v>
      </c>
      <c r="M30" s="316">
        <v>0</v>
      </c>
      <c r="N30" s="53">
        <v>0</v>
      </c>
    </row>
    <row r="31" spans="2:14" ht="15.6" x14ac:dyDescent="0.3">
      <c r="B31" s="43">
        <v>27</v>
      </c>
      <c r="C31" s="44">
        <v>0</v>
      </c>
      <c r="D31" s="44">
        <v>0</v>
      </c>
      <c r="E31" s="44">
        <v>0</v>
      </c>
      <c r="F31" s="44">
        <v>0</v>
      </c>
      <c r="G31" s="44">
        <v>0</v>
      </c>
      <c r="H31" s="313">
        <v>0</v>
      </c>
      <c r="I31" s="318">
        <f t="shared" si="0"/>
        <v>0</v>
      </c>
      <c r="J31" s="316">
        <v>0</v>
      </c>
      <c r="K31" s="44">
        <v>0</v>
      </c>
      <c r="L31" s="311">
        <v>0</v>
      </c>
      <c r="M31" s="316">
        <v>0</v>
      </c>
      <c r="N31" s="53">
        <v>0</v>
      </c>
    </row>
    <row r="32" spans="2:14" ht="15.6" x14ac:dyDescent="0.3">
      <c r="B32" s="43">
        <v>28</v>
      </c>
      <c r="C32" s="44">
        <v>0</v>
      </c>
      <c r="D32" s="44">
        <v>0</v>
      </c>
      <c r="E32" s="44">
        <v>0</v>
      </c>
      <c r="F32" s="44">
        <v>0</v>
      </c>
      <c r="G32" s="44">
        <v>0</v>
      </c>
      <c r="H32" s="313">
        <v>0</v>
      </c>
      <c r="I32" s="318">
        <f t="shared" si="0"/>
        <v>0</v>
      </c>
      <c r="J32" s="316">
        <v>0</v>
      </c>
      <c r="K32" s="44">
        <v>0</v>
      </c>
      <c r="L32" s="311">
        <v>0</v>
      </c>
      <c r="M32" s="316">
        <v>0</v>
      </c>
      <c r="N32" s="53">
        <v>0</v>
      </c>
    </row>
    <row r="33" spans="2:14" ht="15.6" x14ac:dyDescent="0.3">
      <c r="B33" s="43">
        <v>29</v>
      </c>
      <c r="C33" s="44">
        <v>0</v>
      </c>
      <c r="D33" s="44">
        <v>0</v>
      </c>
      <c r="E33" s="44">
        <v>0</v>
      </c>
      <c r="F33" s="44">
        <v>0</v>
      </c>
      <c r="G33" s="44">
        <v>0</v>
      </c>
      <c r="H33" s="313">
        <v>0</v>
      </c>
      <c r="I33" s="318">
        <f t="shared" si="0"/>
        <v>0</v>
      </c>
      <c r="J33" s="316">
        <v>0</v>
      </c>
      <c r="K33" s="44">
        <v>0</v>
      </c>
      <c r="L33" s="311">
        <v>0</v>
      </c>
      <c r="M33" s="316">
        <v>0</v>
      </c>
      <c r="N33" s="53">
        <v>0</v>
      </c>
    </row>
    <row r="34" spans="2:14" ht="15.6" x14ac:dyDescent="0.3">
      <c r="B34" s="43">
        <v>30</v>
      </c>
      <c r="C34" s="44">
        <v>0</v>
      </c>
      <c r="D34" s="44">
        <v>0</v>
      </c>
      <c r="E34" s="44">
        <v>0</v>
      </c>
      <c r="F34" s="44">
        <v>0</v>
      </c>
      <c r="G34" s="44">
        <v>0</v>
      </c>
      <c r="H34" s="313">
        <v>0</v>
      </c>
      <c r="I34" s="318">
        <f t="shared" si="0"/>
        <v>0</v>
      </c>
      <c r="J34" s="316">
        <v>0</v>
      </c>
      <c r="K34" s="44">
        <v>0</v>
      </c>
      <c r="L34" s="311">
        <v>0</v>
      </c>
      <c r="M34" s="316">
        <v>0</v>
      </c>
      <c r="N34" s="53">
        <v>0</v>
      </c>
    </row>
    <row r="35" spans="2:14" ht="16.2" thickBot="1" x14ac:dyDescent="0.35">
      <c r="B35" s="45">
        <v>31</v>
      </c>
      <c r="C35" s="46">
        <v>0</v>
      </c>
      <c r="D35" s="46">
        <v>0</v>
      </c>
      <c r="E35" s="46">
        <v>0</v>
      </c>
      <c r="F35" s="46">
        <v>0</v>
      </c>
      <c r="G35" s="46">
        <v>0</v>
      </c>
      <c r="H35" s="314">
        <v>0</v>
      </c>
      <c r="I35" s="319">
        <f t="shared" si="0"/>
        <v>0</v>
      </c>
      <c r="J35" s="316">
        <v>0</v>
      </c>
      <c r="K35" s="46">
        <v>0</v>
      </c>
      <c r="L35" s="46">
        <v>0</v>
      </c>
      <c r="M35" s="320">
        <v>0</v>
      </c>
      <c r="N35" s="54">
        <v>0</v>
      </c>
    </row>
    <row r="36" spans="2:14" x14ac:dyDescent="0.25">
      <c r="B36" s="40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3"/>
    </row>
    <row r="37" spans="2:14" ht="15.6" thickBot="1" x14ac:dyDescent="0.3">
      <c r="B37" s="55" t="s">
        <v>7</v>
      </c>
      <c r="C37" s="72">
        <f t="shared" ref="C37:L37" si="1">SUM(C5:C35)</f>
        <v>0</v>
      </c>
      <c r="D37" s="72">
        <f t="shared" si="1"/>
        <v>0</v>
      </c>
      <c r="E37" s="72">
        <f t="shared" si="1"/>
        <v>0</v>
      </c>
      <c r="F37" s="72">
        <f t="shared" si="1"/>
        <v>0</v>
      </c>
      <c r="G37" s="72">
        <f t="shared" si="1"/>
        <v>0</v>
      </c>
      <c r="H37" s="72">
        <f t="shared" si="1"/>
        <v>0</v>
      </c>
      <c r="I37" s="72">
        <f t="shared" si="1"/>
        <v>0</v>
      </c>
      <c r="J37" s="72"/>
      <c r="K37" s="72">
        <f t="shared" si="1"/>
        <v>0</v>
      </c>
      <c r="L37" s="72">
        <f t="shared" si="1"/>
        <v>0</v>
      </c>
      <c r="M37" s="72">
        <f>SUM(M5:M35)</f>
        <v>0</v>
      </c>
      <c r="N37" s="74">
        <f>SUM(N5:N35)</f>
        <v>0</v>
      </c>
    </row>
    <row r="38" spans="2:14" x14ac:dyDescent="0.25">
      <c r="C38" s="49"/>
      <c r="D38" s="49"/>
      <c r="E38" s="49"/>
      <c r="F38" s="49"/>
      <c r="G38" s="49"/>
      <c r="H38" s="49"/>
      <c r="I38" s="49"/>
      <c r="J38" s="49"/>
    </row>
    <row r="39" spans="2:14" x14ac:dyDescent="0.25">
      <c r="C39" s="56" t="e">
        <f t="shared" ref="C39:L39" si="2">+C37/$I$37%</f>
        <v>#DIV/0!</v>
      </c>
      <c r="D39" s="56" t="e">
        <f t="shared" si="2"/>
        <v>#DIV/0!</v>
      </c>
      <c r="E39" s="56" t="e">
        <f t="shared" si="2"/>
        <v>#DIV/0!</v>
      </c>
      <c r="F39" s="56" t="e">
        <f t="shared" si="2"/>
        <v>#DIV/0!</v>
      </c>
      <c r="G39" s="56" t="e">
        <f t="shared" si="2"/>
        <v>#DIV/0!</v>
      </c>
      <c r="H39" s="56" t="e">
        <f t="shared" si="2"/>
        <v>#DIV/0!</v>
      </c>
      <c r="I39" s="56" t="e">
        <f>SUM(C39+D39+E39+F39+G39+H39)</f>
        <v>#DIV/0!</v>
      </c>
      <c r="J39" s="56"/>
      <c r="K39" s="56" t="e">
        <f t="shared" si="2"/>
        <v>#DIV/0!</v>
      </c>
      <c r="L39" s="56" t="e">
        <f t="shared" si="2"/>
        <v>#DIV/0!</v>
      </c>
    </row>
    <row r="40" spans="2:14" x14ac:dyDescent="0.25">
      <c r="C40" s="49"/>
      <c r="D40" s="49"/>
      <c r="E40" s="49"/>
      <c r="F40" s="49"/>
      <c r="G40" s="49"/>
      <c r="H40" s="49"/>
      <c r="I40" s="49"/>
      <c r="J40" s="49"/>
    </row>
    <row r="41" spans="2:14" x14ac:dyDescent="0.25">
      <c r="C41" s="49"/>
      <c r="D41" s="49"/>
      <c r="E41" s="49"/>
      <c r="F41" s="49"/>
      <c r="G41" s="49"/>
      <c r="H41" s="49"/>
      <c r="I41" s="49"/>
      <c r="J41" s="49"/>
    </row>
    <row r="42" spans="2:14" x14ac:dyDescent="0.25">
      <c r="C42" s="49"/>
      <c r="D42" s="49"/>
      <c r="E42" s="49"/>
      <c r="F42" s="49"/>
      <c r="G42" s="49"/>
      <c r="H42" s="49"/>
      <c r="I42" s="49"/>
      <c r="J42" s="49"/>
    </row>
    <row r="43" spans="2:14" x14ac:dyDescent="0.25">
      <c r="C43" s="49"/>
      <c r="D43" s="49"/>
      <c r="E43" s="49"/>
      <c r="F43" s="49"/>
      <c r="G43" s="49"/>
      <c r="H43" s="49"/>
      <c r="I43" s="49"/>
      <c r="J43" s="49"/>
    </row>
    <row r="44" spans="2:14" x14ac:dyDescent="0.25">
      <c r="C44" s="49"/>
      <c r="D44" s="49"/>
      <c r="E44" s="49"/>
      <c r="F44" s="49"/>
      <c r="G44" s="49"/>
      <c r="H44" s="49"/>
      <c r="I44" s="49"/>
      <c r="J44" s="49"/>
    </row>
    <row r="45" spans="2:14" x14ac:dyDescent="0.25">
      <c r="C45" s="49"/>
      <c r="D45" s="49"/>
      <c r="E45" s="49"/>
      <c r="F45" s="49"/>
      <c r="G45" s="49"/>
      <c r="H45" s="49"/>
      <c r="I45" s="49"/>
      <c r="J45" s="49"/>
    </row>
    <row r="46" spans="2:14" x14ac:dyDescent="0.25">
      <c r="C46" s="49"/>
      <c r="D46" s="49"/>
      <c r="E46" s="49"/>
      <c r="F46" s="49"/>
      <c r="G46" s="49"/>
      <c r="H46" s="49"/>
      <c r="I46" s="49"/>
      <c r="J46" s="49"/>
    </row>
    <row r="47" spans="2:14" x14ac:dyDescent="0.25">
      <c r="C47" s="49"/>
      <c r="D47" s="49"/>
      <c r="E47" s="49"/>
      <c r="F47" s="49"/>
      <c r="G47" s="49"/>
      <c r="H47" s="49"/>
      <c r="I47" s="49"/>
      <c r="J47" s="49"/>
    </row>
    <row r="48" spans="2:14" x14ac:dyDescent="0.25">
      <c r="C48" s="49"/>
      <c r="D48" s="49"/>
      <c r="E48" s="49"/>
      <c r="F48" s="49"/>
      <c r="G48" s="49"/>
      <c r="H48" s="49"/>
      <c r="I48" s="49"/>
      <c r="J48" s="49"/>
    </row>
    <row r="49" spans="3:10" x14ac:dyDescent="0.25">
      <c r="C49" s="49"/>
      <c r="D49" s="49"/>
      <c r="E49" s="49"/>
      <c r="F49" s="49"/>
      <c r="G49" s="49"/>
      <c r="H49" s="49"/>
      <c r="I49" s="49"/>
      <c r="J49" s="49"/>
    </row>
    <row r="50" spans="3:10" x14ac:dyDescent="0.25">
      <c r="C50" s="49"/>
      <c r="D50" s="49"/>
      <c r="E50" s="49"/>
      <c r="F50" s="49"/>
      <c r="G50" s="49"/>
      <c r="H50" s="49"/>
      <c r="I50" s="49"/>
      <c r="J50" s="49"/>
    </row>
    <row r="51" spans="3:10" x14ac:dyDescent="0.25">
      <c r="C51" s="49"/>
      <c r="D51" s="49"/>
      <c r="E51" s="49"/>
      <c r="F51" s="49"/>
      <c r="G51" s="49"/>
      <c r="H51" s="49"/>
      <c r="I51" s="49"/>
      <c r="J51" s="49"/>
    </row>
    <row r="52" spans="3:10" x14ac:dyDescent="0.25">
      <c r="C52" s="49"/>
      <c r="D52" s="49"/>
      <c r="E52" s="49"/>
      <c r="F52" s="49"/>
      <c r="G52" s="49"/>
      <c r="H52" s="49"/>
      <c r="I52" s="49"/>
      <c r="J52" s="49"/>
    </row>
    <row r="53" spans="3:10" x14ac:dyDescent="0.25">
      <c r="C53" s="49"/>
      <c r="D53" s="49"/>
      <c r="E53" s="49"/>
      <c r="F53" s="49"/>
      <c r="G53" s="49"/>
      <c r="H53" s="49"/>
      <c r="I53" s="49"/>
      <c r="J53" s="49"/>
    </row>
    <row r="54" spans="3:10" x14ac:dyDescent="0.25">
      <c r="C54" s="49"/>
      <c r="D54" s="49"/>
      <c r="E54" s="49"/>
      <c r="F54" s="49"/>
      <c r="G54" s="49"/>
      <c r="H54" s="49"/>
      <c r="I54" s="49"/>
      <c r="J54" s="49"/>
    </row>
    <row r="55" spans="3:10" x14ac:dyDescent="0.25">
      <c r="C55" s="49"/>
      <c r="D55" s="49"/>
      <c r="E55" s="49"/>
      <c r="F55" s="49"/>
      <c r="G55" s="49"/>
      <c r="H55" s="49"/>
      <c r="I55" s="49"/>
      <c r="J55" s="49"/>
    </row>
    <row r="56" spans="3:10" x14ac:dyDescent="0.25">
      <c r="C56" s="49"/>
      <c r="D56" s="49"/>
      <c r="E56" s="49"/>
      <c r="F56" s="49"/>
      <c r="G56" s="49"/>
      <c r="H56" s="49"/>
      <c r="I56" s="49"/>
      <c r="J56" s="49"/>
    </row>
  </sheetData>
  <sheetProtection sheet="1" objects="1" scenarios="1" selectLockedCells="1"/>
  <customSheetViews>
    <customSheetView guid="{E9A9889A-61F5-47D0-A5C6-BF43493EDD61}" scale="70" showGridLines="0" showRowCol="0">
      <selection activeCell="C5" sqref="C5"/>
    </customSheetView>
    <customSheetView guid="{505FDB09-1B2F-4C19-8222-6158EDD21A0E}" scale="70" showGridLines="0" showRowCol="0">
      <selection activeCell="C5" sqref="C5"/>
    </customSheetView>
    <customSheetView guid="{7982FB7F-E997-4C70-8B2B-B628B46385D2}" scale="70" showGridLines="0" showRowCol="0">
      <selection activeCell="C5" sqref="C5"/>
    </customSheetView>
    <customSheetView guid="{9679493F-7CDF-46D6-BE72-B12FE11A478F}" scale="70" showGridLines="0" showRowCol="0">
      <selection activeCell="C5" sqref="C5"/>
    </customSheetView>
  </customSheetViews>
  <mergeCells count="2">
    <mergeCell ref="B2:N2"/>
    <mergeCell ref="B3:N3"/>
  </mergeCells>
  <phoneticPr fontId="5" type="noConversion"/>
  <printOptions gridLinesSet="0"/>
  <pageMargins left="0.28999999999999998" right="0.11811023622047245" top="0.6692913385826772" bottom="0.39370078740157483" header="0.55118110236220474" footer="0"/>
  <pageSetup paperSize="9" scale="80"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hiftStats"/>
  <dimension ref="C2:N65"/>
  <sheetViews>
    <sheetView showGridLines="0" showRowColHeaders="0" tabSelected="1" topLeftCell="A2" zoomScaleNormal="100" workbookViewId="0">
      <selection activeCell="E20" sqref="E20"/>
    </sheetView>
  </sheetViews>
  <sheetFormatPr defaultRowHeight="13.2" x14ac:dyDescent="0.25"/>
  <cols>
    <col min="1" max="1" width="2.88671875" customWidth="1"/>
    <col min="2" max="2" width="2.33203125" customWidth="1"/>
    <col min="3" max="3" width="5.6640625" customWidth="1"/>
    <col min="4" max="4" width="19" customWidth="1"/>
    <col min="5" max="8" width="14.6640625" customWidth="1"/>
    <col min="9" max="9" width="4.5546875" customWidth="1"/>
    <col min="10" max="10" width="13" customWidth="1"/>
    <col min="11" max="12" width="11.88671875" customWidth="1"/>
    <col min="13" max="13" width="12.33203125" customWidth="1"/>
    <col min="14" max="14" width="11.88671875" customWidth="1"/>
  </cols>
  <sheetData>
    <row r="2" spans="3:14" ht="13.8" thickBot="1" x14ac:dyDescent="0.3"/>
    <row r="3" spans="3:14" ht="42.75" customHeight="1" thickBot="1" x14ac:dyDescent="0.3">
      <c r="C3" s="412" t="str">
        <f>Location&amp;" - Traffic Volumes per Shift - "&amp; Month &amp; " " &amp; Year</f>
        <v>OODLA WIRRA - Traffic Volumes per Shift - November 2017</v>
      </c>
      <c r="D3" s="413"/>
      <c r="E3" s="413"/>
      <c r="F3" s="413"/>
      <c r="G3" s="413"/>
      <c r="H3" s="414"/>
      <c r="J3" s="382" t="s">
        <v>119</v>
      </c>
      <c r="K3" s="383"/>
      <c r="L3" s="383"/>
      <c r="M3" s="383"/>
      <c r="N3" s="384"/>
    </row>
    <row r="4" spans="3:14" ht="18" thickBot="1" x14ac:dyDescent="0.3">
      <c r="C4" s="273" t="s">
        <v>12</v>
      </c>
      <c r="D4" s="273" t="s">
        <v>102</v>
      </c>
      <c r="E4" s="274" t="s">
        <v>101</v>
      </c>
      <c r="F4" s="274" t="s">
        <v>12</v>
      </c>
      <c r="G4" s="274" t="s">
        <v>13</v>
      </c>
      <c r="H4" s="275" t="s">
        <v>28</v>
      </c>
      <c r="J4" s="325"/>
      <c r="K4" s="326" t="s">
        <v>101</v>
      </c>
      <c r="L4" s="326" t="s">
        <v>12</v>
      </c>
      <c r="M4" s="326" t="s">
        <v>13</v>
      </c>
      <c r="N4" s="327" t="s">
        <v>28</v>
      </c>
    </row>
    <row r="5" spans="3:14" ht="15" x14ac:dyDescent="0.25">
      <c r="C5" s="411">
        <v>1</v>
      </c>
      <c r="D5" s="418" t="str">
        <f>TEXT(DATE(Year,MONTH(1&amp;Month),DateShiftStats),"ddd - dd/mm/yy")</f>
        <v>Wed - 01/11/17</v>
      </c>
      <c r="E5" s="279">
        <v>0</v>
      </c>
      <c r="F5" s="280">
        <v>0</v>
      </c>
      <c r="G5" s="281">
        <v>0</v>
      </c>
      <c r="H5" s="276">
        <f>SUM(E5:G5)</f>
        <v>0</v>
      </c>
      <c r="J5" s="322" t="s">
        <v>112</v>
      </c>
      <c r="K5" s="328">
        <f>SUMIF($D$5:$D$35,$J5,E$5:E$35)</f>
        <v>0</v>
      </c>
      <c r="L5" s="328">
        <f>SUMIF($D$5:$D$35,$J5,F$5:F$35)</f>
        <v>0</v>
      </c>
      <c r="M5" s="329">
        <f>SUMIF($D$5:$D$35,$J5,G$5:G$35)</f>
        <v>0</v>
      </c>
      <c r="N5" s="330">
        <f>SUM(K5:M5)</f>
        <v>0</v>
      </c>
    </row>
    <row r="6" spans="3:14" ht="15" x14ac:dyDescent="0.25">
      <c r="C6" s="411">
        <v>2</v>
      </c>
      <c r="D6" s="418" t="str">
        <f>TEXT(DATE(Year,MONTH(1&amp;Month),DateShiftStats),"ddd - dd/mm/yy")</f>
        <v>Thu - 02/11/17</v>
      </c>
      <c r="E6" s="282">
        <v>0</v>
      </c>
      <c r="F6" s="271">
        <v>0</v>
      </c>
      <c r="G6" s="283">
        <v>0</v>
      </c>
      <c r="H6" s="277">
        <f t="shared" ref="H6:H35" si="0">SUM(E6:G6)</f>
        <v>0</v>
      </c>
      <c r="J6" s="321" t="s">
        <v>113</v>
      </c>
      <c r="K6" s="331">
        <f>SUMIF($D$5:$D$35,$J6,E$5:E$35)</f>
        <v>0</v>
      </c>
      <c r="L6" s="331">
        <f>SUMIF($D$5:$D$35,$J6,F$5:F$35)</f>
        <v>0</v>
      </c>
      <c r="M6" s="332">
        <f>SUMIF($D$5:$D$35,$J6,G$5:G$35)</f>
        <v>0</v>
      </c>
      <c r="N6" s="333">
        <f t="shared" ref="N6:N11" si="1">SUM(K6:M6)</f>
        <v>0</v>
      </c>
    </row>
    <row r="7" spans="3:14" ht="15" x14ac:dyDescent="0.25">
      <c r="C7" s="411">
        <v>3</v>
      </c>
      <c r="D7" s="418" t="str">
        <f>TEXT(DATE(Year,MONTH(1&amp;Month),DateShiftStats),"ddd - dd/mm/yy")</f>
        <v>Fri - 03/11/17</v>
      </c>
      <c r="E7" s="282">
        <v>0</v>
      </c>
      <c r="F7" s="271">
        <v>0</v>
      </c>
      <c r="G7" s="283">
        <v>0</v>
      </c>
      <c r="H7" s="277">
        <f t="shared" si="0"/>
        <v>0</v>
      </c>
      <c r="J7" s="321" t="s">
        <v>114</v>
      </c>
      <c r="K7" s="331">
        <f>SUMIF($D$5:$D$35,$J7,E$5:E$35)</f>
        <v>0</v>
      </c>
      <c r="L7" s="331">
        <f>SUMIF($D$5:$D$35,$J7,F$5:F$35)</f>
        <v>0</v>
      </c>
      <c r="M7" s="332">
        <f>SUMIF($D$5:$D$35,$J7,G$5:G$35)</f>
        <v>0</v>
      </c>
      <c r="N7" s="333">
        <f t="shared" si="1"/>
        <v>0</v>
      </c>
    </row>
    <row r="8" spans="3:14" ht="15" x14ac:dyDescent="0.25">
      <c r="C8" s="411">
        <v>4</v>
      </c>
      <c r="D8" s="418" t="str">
        <f>TEXT(DATE(Year,MONTH(1&amp;Month),DateShiftStats),"ddd - dd/mm/yy")</f>
        <v>Sat - 04/11/17</v>
      </c>
      <c r="E8" s="282">
        <v>0</v>
      </c>
      <c r="F8" s="271">
        <v>0</v>
      </c>
      <c r="G8" s="283">
        <v>0</v>
      </c>
      <c r="H8" s="277">
        <f t="shared" si="0"/>
        <v>0</v>
      </c>
      <c r="J8" s="321" t="s">
        <v>115</v>
      </c>
      <c r="K8" s="331">
        <f>SUMIF($D$5:$D$35,$J8,E$5:E$35)</f>
        <v>0</v>
      </c>
      <c r="L8" s="331">
        <f>SUMIF($D$5:$D$35,$J8,F$5:F$35)</f>
        <v>0</v>
      </c>
      <c r="M8" s="332">
        <f>SUMIF($D$5:$D$35,$J8,G$5:G$35)</f>
        <v>0</v>
      </c>
      <c r="N8" s="333">
        <f t="shared" si="1"/>
        <v>0</v>
      </c>
    </row>
    <row r="9" spans="3:14" ht="15" x14ac:dyDescent="0.25">
      <c r="C9" s="411">
        <v>5</v>
      </c>
      <c r="D9" s="418" t="str">
        <f>TEXT(DATE(Year,MONTH(1&amp;Month),DateShiftStats),"ddd - dd/mm/yy")</f>
        <v>Sun - 05/11/17</v>
      </c>
      <c r="E9" s="282">
        <v>0</v>
      </c>
      <c r="F9" s="271">
        <v>0</v>
      </c>
      <c r="G9" s="283">
        <v>0</v>
      </c>
      <c r="H9" s="277">
        <f t="shared" si="0"/>
        <v>0</v>
      </c>
      <c r="J9" s="321" t="s">
        <v>116</v>
      </c>
      <c r="K9" s="331">
        <f>SUMIF($D$5:$D$35,$J9,E$5:E$35)</f>
        <v>0</v>
      </c>
      <c r="L9" s="331">
        <f>SUMIF($D$5:$D$35,$J9,F$5:F$35)</f>
        <v>0</v>
      </c>
      <c r="M9" s="332">
        <f>SUMIF($D$5:$D$35,$J9,G$5:G$35)</f>
        <v>0</v>
      </c>
      <c r="N9" s="333">
        <f t="shared" si="1"/>
        <v>0</v>
      </c>
    </row>
    <row r="10" spans="3:14" ht="15" x14ac:dyDescent="0.25">
      <c r="C10" s="411">
        <v>6</v>
      </c>
      <c r="D10" s="418" t="str">
        <f>TEXT(DATE(Year,MONTH(1&amp;Month),DateShiftStats),"ddd - dd/mm/yy")</f>
        <v>Mon - 06/11/17</v>
      </c>
      <c r="E10" s="282">
        <v>0</v>
      </c>
      <c r="F10" s="271">
        <v>0</v>
      </c>
      <c r="G10" s="283">
        <v>0</v>
      </c>
      <c r="H10" s="277">
        <f t="shared" si="0"/>
        <v>0</v>
      </c>
      <c r="J10" s="321" t="s">
        <v>117</v>
      </c>
      <c r="K10" s="331">
        <f>SUMIF($D$5:$D$35,$J10,E$5:E$35)</f>
        <v>0</v>
      </c>
      <c r="L10" s="331">
        <f>SUMIF($D$5:$D$35,$J10,F$5:F$35)</f>
        <v>0</v>
      </c>
      <c r="M10" s="332">
        <f>SUMIF($D$5:$D$35,$J10,G$5:G$35)</f>
        <v>0</v>
      </c>
      <c r="N10" s="333">
        <f t="shared" si="1"/>
        <v>0</v>
      </c>
    </row>
    <row r="11" spans="3:14" ht="15.6" thickBot="1" x14ac:dyDescent="0.3">
      <c r="C11" s="411">
        <v>7</v>
      </c>
      <c r="D11" s="418" t="str">
        <f>TEXT(DATE(Year,MONTH(1&amp;Month),DateShiftStats),"ddd - dd/mm/yy")</f>
        <v>Tue - 07/11/17</v>
      </c>
      <c r="E11" s="282">
        <v>0</v>
      </c>
      <c r="F11" s="271">
        <v>0</v>
      </c>
      <c r="G11" s="283">
        <v>0</v>
      </c>
      <c r="H11" s="277">
        <f t="shared" si="0"/>
        <v>0</v>
      </c>
      <c r="J11" s="323" t="s">
        <v>118</v>
      </c>
      <c r="K11" s="334">
        <f>SUMIF($D$5:$D$35,$J11,E$5:E$35)</f>
        <v>0</v>
      </c>
      <c r="L11" s="334">
        <f>SUMIF($D$5:$D$35,$J11,F$5:F$35)</f>
        <v>0</v>
      </c>
      <c r="M11" s="335">
        <f>SUMIF($D$5:$D$35,$J11,G$5:G$35)</f>
        <v>0</v>
      </c>
      <c r="N11" s="336">
        <f t="shared" si="1"/>
        <v>0</v>
      </c>
    </row>
    <row r="12" spans="3:14" ht="15.6" thickBot="1" x14ac:dyDescent="0.3">
      <c r="C12" s="411">
        <v>8</v>
      </c>
      <c r="D12" s="418" t="str">
        <f>TEXT(DATE(Year,MONTH(1&amp;Month),DateShiftStats),"ddd - dd/mm/yy")</f>
        <v>Wed - 08/11/17</v>
      </c>
      <c r="E12" s="282">
        <v>0</v>
      </c>
      <c r="F12" s="271">
        <v>0</v>
      </c>
      <c r="G12" s="283">
        <v>0</v>
      </c>
      <c r="H12" s="277">
        <f t="shared" si="0"/>
        <v>0</v>
      </c>
      <c r="J12" s="324" t="s">
        <v>120</v>
      </c>
      <c r="K12" s="337">
        <f>SUM(K5:K11)</f>
        <v>0</v>
      </c>
      <c r="L12" s="338">
        <f t="shared" ref="L12:M12" si="2">SUM(L5:L11)</f>
        <v>0</v>
      </c>
      <c r="M12" s="339">
        <f t="shared" si="2"/>
        <v>0</v>
      </c>
      <c r="N12" s="340">
        <f>SUM(K12:M12)</f>
        <v>0</v>
      </c>
    </row>
    <row r="13" spans="3:14" ht="15" x14ac:dyDescent="0.25">
      <c r="C13" s="411">
        <v>9</v>
      </c>
      <c r="D13" s="418" t="str">
        <f>TEXT(DATE(Year,MONTH(1&amp;Month),DateShiftStats),"ddd - dd/mm/yy")</f>
        <v>Thu - 09/11/17</v>
      </c>
      <c r="E13" s="282">
        <v>0</v>
      </c>
      <c r="F13" s="271">
        <v>0</v>
      </c>
      <c r="G13" s="283">
        <v>0</v>
      </c>
      <c r="H13" s="277">
        <f t="shared" si="0"/>
        <v>0</v>
      </c>
    </row>
    <row r="14" spans="3:14" ht="15" x14ac:dyDescent="0.25">
      <c r="C14" s="411">
        <v>10</v>
      </c>
      <c r="D14" s="418" t="str">
        <f>TEXT(DATE(Year,MONTH(1&amp;Month),DateShiftStats),"ddd - dd/mm/yy")</f>
        <v>Fri - 10/11/17</v>
      </c>
      <c r="E14" s="282">
        <v>0</v>
      </c>
      <c r="F14" s="271">
        <v>0</v>
      </c>
      <c r="G14" s="283">
        <v>0</v>
      </c>
      <c r="H14" s="277">
        <f t="shared" si="0"/>
        <v>0</v>
      </c>
    </row>
    <row r="15" spans="3:14" ht="15" x14ac:dyDescent="0.25">
      <c r="C15" s="411">
        <v>11</v>
      </c>
      <c r="D15" s="418" t="str">
        <f>TEXT(DATE(Year,MONTH(1&amp;Month),DateShiftStats),"ddd - dd/mm/yy")</f>
        <v>Sat - 11/11/17</v>
      </c>
      <c r="E15" s="282">
        <v>0</v>
      </c>
      <c r="F15" s="271">
        <v>0</v>
      </c>
      <c r="G15" s="283">
        <v>0</v>
      </c>
      <c r="H15" s="277">
        <f t="shared" si="0"/>
        <v>0</v>
      </c>
    </row>
    <row r="16" spans="3:14" ht="15" x14ac:dyDescent="0.25">
      <c r="C16" s="411">
        <v>12</v>
      </c>
      <c r="D16" s="418" t="str">
        <f>TEXT(DATE(Year,MONTH(1&amp;Month),DateShiftStats),"ddd - dd/mm/yy")</f>
        <v>Sun - 12/11/17</v>
      </c>
      <c r="E16" s="282">
        <v>0</v>
      </c>
      <c r="F16" s="271">
        <v>0</v>
      </c>
      <c r="G16" s="283">
        <v>0</v>
      </c>
      <c r="H16" s="277">
        <f t="shared" si="0"/>
        <v>0</v>
      </c>
    </row>
    <row r="17" spans="3:14" ht="15" x14ac:dyDescent="0.25">
      <c r="C17" s="411">
        <v>13</v>
      </c>
      <c r="D17" s="418" t="str">
        <f>TEXT(DATE(Year,MONTH(1&amp;Month),DateShiftStats),"ddd - dd/mm/yy")</f>
        <v>Mon - 13/11/17</v>
      </c>
      <c r="E17" s="282">
        <v>0</v>
      </c>
      <c r="F17" s="271">
        <v>0</v>
      </c>
      <c r="G17" s="283">
        <v>0</v>
      </c>
      <c r="H17" s="277">
        <f t="shared" si="0"/>
        <v>0</v>
      </c>
    </row>
    <row r="18" spans="3:14" ht="15" x14ac:dyDescent="0.25">
      <c r="C18" s="411">
        <v>14</v>
      </c>
      <c r="D18" s="418" t="str">
        <f>TEXT(DATE(Year,MONTH(1&amp;Month),DateShiftStats),"ddd - dd/mm/yy")</f>
        <v>Tue - 14/11/17</v>
      </c>
      <c r="E18" s="282">
        <v>0</v>
      </c>
      <c r="F18" s="271">
        <v>0</v>
      </c>
      <c r="G18" s="283">
        <v>0</v>
      </c>
      <c r="H18" s="277">
        <f t="shared" si="0"/>
        <v>0</v>
      </c>
    </row>
    <row r="19" spans="3:14" ht="15" x14ac:dyDescent="0.25">
      <c r="C19" s="411">
        <v>15</v>
      </c>
      <c r="D19" s="418" t="str">
        <f>TEXT(DATE(Year,MONTH(1&amp;Month),DateShiftStats),"ddd - dd/mm/yy")</f>
        <v>Wed - 15/11/17</v>
      </c>
      <c r="E19" s="282">
        <v>0</v>
      </c>
      <c r="F19" s="271">
        <v>0</v>
      </c>
      <c r="G19" s="283">
        <v>0</v>
      </c>
      <c r="H19" s="277">
        <f t="shared" si="0"/>
        <v>0</v>
      </c>
    </row>
    <row r="20" spans="3:14" ht="15" x14ac:dyDescent="0.25">
      <c r="C20" s="411">
        <v>16</v>
      </c>
      <c r="D20" s="418" t="str">
        <f>TEXT(DATE(Year,MONTH(1&amp;Month),DateShiftStats),"ddd - dd/mm/yy")</f>
        <v>Thu - 16/11/17</v>
      </c>
      <c r="E20" s="282">
        <v>0</v>
      </c>
      <c r="F20" s="271">
        <v>0</v>
      </c>
      <c r="G20" s="283">
        <v>0</v>
      </c>
      <c r="H20" s="277">
        <f t="shared" si="0"/>
        <v>0</v>
      </c>
    </row>
    <row r="21" spans="3:14" ht="15" x14ac:dyDescent="0.25">
      <c r="C21" s="411">
        <v>17</v>
      </c>
      <c r="D21" s="418" t="str">
        <f>TEXT(DATE(Year,MONTH(1&amp;Month),DateShiftStats),"ddd - dd/mm/yy")</f>
        <v>Fri - 17/11/17</v>
      </c>
      <c r="E21" s="282">
        <v>0</v>
      </c>
      <c r="F21" s="271">
        <v>0</v>
      </c>
      <c r="G21" s="283">
        <v>0</v>
      </c>
      <c r="H21" s="277">
        <f t="shared" si="0"/>
        <v>0</v>
      </c>
    </row>
    <row r="22" spans="3:14" ht="15" x14ac:dyDescent="0.25">
      <c r="C22" s="411">
        <v>18</v>
      </c>
      <c r="D22" s="418" t="str">
        <f>TEXT(DATE(Year,MONTH(1&amp;Month),DateShiftStats),"ddd - dd/mm/yy")</f>
        <v>Sat - 18/11/17</v>
      </c>
      <c r="E22" s="282">
        <v>0</v>
      </c>
      <c r="F22" s="271">
        <v>0</v>
      </c>
      <c r="G22" s="283">
        <v>0</v>
      </c>
      <c r="H22" s="277">
        <f t="shared" si="0"/>
        <v>0</v>
      </c>
    </row>
    <row r="23" spans="3:14" ht="15" x14ac:dyDescent="0.25">
      <c r="C23" s="411">
        <v>19</v>
      </c>
      <c r="D23" s="418" t="str">
        <f>TEXT(DATE(Year,MONTH(1&amp;Month),DateShiftStats),"ddd - dd/mm/yy")</f>
        <v>Sun - 19/11/17</v>
      </c>
      <c r="E23" s="282">
        <v>0</v>
      </c>
      <c r="F23" s="271">
        <v>0</v>
      </c>
      <c r="G23" s="283">
        <v>0</v>
      </c>
      <c r="H23" s="277">
        <f t="shared" si="0"/>
        <v>0</v>
      </c>
    </row>
    <row r="24" spans="3:14" ht="15" x14ac:dyDescent="0.25">
      <c r="C24" s="411">
        <v>20</v>
      </c>
      <c r="D24" s="418" t="str">
        <f>TEXT(DATE(Year,MONTH(1&amp;Month),DateShiftStats),"ddd - dd/mm/yy")</f>
        <v>Mon - 20/11/17</v>
      </c>
      <c r="E24" s="282">
        <v>0</v>
      </c>
      <c r="F24" s="271">
        <v>0</v>
      </c>
      <c r="G24" s="283">
        <v>0</v>
      </c>
      <c r="H24" s="277">
        <f t="shared" si="0"/>
        <v>0</v>
      </c>
    </row>
    <row r="25" spans="3:14" ht="15" x14ac:dyDescent="0.25">
      <c r="C25" s="411">
        <v>21</v>
      </c>
      <c r="D25" s="418" t="str">
        <f>TEXT(DATE(Year,MONTH(1&amp;Month),DateShiftStats),"ddd - dd/mm/yy")</f>
        <v>Tue - 21/11/17</v>
      </c>
      <c r="E25" s="282">
        <v>0</v>
      </c>
      <c r="F25" s="271">
        <v>0</v>
      </c>
      <c r="G25" s="283">
        <v>0</v>
      </c>
      <c r="H25" s="277">
        <f t="shared" si="0"/>
        <v>0</v>
      </c>
    </row>
    <row r="26" spans="3:14" ht="15.6" thickBot="1" x14ac:dyDescent="0.3">
      <c r="C26" s="411">
        <v>22</v>
      </c>
      <c r="D26" s="418" t="str">
        <f>TEXT(DATE(Year,MONTH(1&amp;Month),DateShiftStats),"ddd - dd/mm/yy")</f>
        <v>Wed - 22/11/17</v>
      </c>
      <c r="E26" s="282">
        <v>0</v>
      </c>
      <c r="F26" s="271">
        <v>0</v>
      </c>
      <c r="G26" s="283">
        <v>0</v>
      </c>
      <c r="H26" s="277">
        <f t="shared" si="0"/>
        <v>0</v>
      </c>
    </row>
    <row r="27" spans="3:14" ht="16.5" customHeight="1" x14ac:dyDescent="0.25">
      <c r="C27" s="411">
        <v>23</v>
      </c>
      <c r="D27" s="418" t="str">
        <f>TEXT(DATE(Year,MONTH(1&amp;Month),DateShiftStats),"ddd - dd/mm/yy")</f>
        <v>Thu - 23/11/17</v>
      </c>
      <c r="E27" s="282">
        <v>0</v>
      </c>
      <c r="F27" s="271">
        <v>0</v>
      </c>
      <c r="G27" s="283">
        <v>0</v>
      </c>
      <c r="H27" s="277">
        <f t="shared" si="0"/>
        <v>0</v>
      </c>
      <c r="J27" s="376" t="s">
        <v>121</v>
      </c>
      <c r="K27" s="377"/>
      <c r="L27" s="377"/>
      <c r="M27" s="377"/>
      <c r="N27" s="378"/>
    </row>
    <row r="28" spans="3:14" ht="16.5" customHeight="1" thickBot="1" x14ac:dyDescent="0.3">
      <c r="C28" s="411">
        <v>24</v>
      </c>
      <c r="D28" s="418" t="str">
        <f>TEXT(DATE(Year,MONTH(1&amp;Month),DateShiftStats),"ddd - dd/mm/yy")</f>
        <v>Fri - 24/11/17</v>
      </c>
      <c r="E28" s="282">
        <v>0</v>
      </c>
      <c r="F28" s="271">
        <v>0</v>
      </c>
      <c r="G28" s="283">
        <v>0</v>
      </c>
      <c r="H28" s="277">
        <f t="shared" si="0"/>
        <v>0</v>
      </c>
      <c r="J28" s="379"/>
      <c r="K28" s="380"/>
      <c r="L28" s="380"/>
      <c r="M28" s="380"/>
      <c r="N28" s="381"/>
    </row>
    <row r="29" spans="3:14" ht="15.75" customHeight="1" thickBot="1" x14ac:dyDescent="0.3">
      <c r="C29" s="411">
        <v>25</v>
      </c>
      <c r="D29" s="418" t="str">
        <f>TEXT(DATE(Year,MONTH(1&amp;Month),DateShiftStats),"ddd - dd/mm/yy")</f>
        <v>Sat - 25/11/17</v>
      </c>
      <c r="E29" s="282">
        <v>0</v>
      </c>
      <c r="F29" s="271">
        <v>0</v>
      </c>
      <c r="G29" s="283">
        <v>0</v>
      </c>
      <c r="H29" s="277">
        <f t="shared" si="0"/>
        <v>0</v>
      </c>
      <c r="J29" s="325"/>
      <c r="K29" s="326" t="s">
        <v>101</v>
      </c>
      <c r="L29" s="326" t="s">
        <v>12</v>
      </c>
      <c r="M29" s="326" t="s">
        <v>13</v>
      </c>
      <c r="N29" s="327" t="s">
        <v>122</v>
      </c>
    </row>
    <row r="30" spans="3:14" ht="15.6" x14ac:dyDescent="0.3">
      <c r="C30" s="411">
        <v>26</v>
      </c>
      <c r="D30" s="418" t="str">
        <f>TEXT(DATE(Year,MONTH(1&amp;Month),DateShiftStats),"ddd - dd/mm/yy")</f>
        <v>Sun - 26/11/17</v>
      </c>
      <c r="E30" s="282">
        <v>0</v>
      </c>
      <c r="F30" s="271">
        <v>0</v>
      </c>
      <c r="G30" s="283">
        <v>0</v>
      </c>
      <c r="H30" s="277">
        <f t="shared" si="0"/>
        <v>0</v>
      </c>
      <c r="J30" s="343" t="s">
        <v>112</v>
      </c>
      <c r="K30" s="346" t="e">
        <f>AVERAGEIF(D$5:D$35,J30,E$5:E$35)</f>
        <v>#DIV/0!</v>
      </c>
      <c r="L30" s="341" t="e">
        <f>AVERAGEIF(D$5:D$35,J30,F$5:F$35)</f>
        <v>#DIV/0!</v>
      </c>
      <c r="M30" s="341" t="e">
        <f>AVERAGEIF(D$5:D$35,J30,G$5:G$35)</f>
        <v>#DIV/0!</v>
      </c>
      <c r="N30" s="351" t="e">
        <f>AVERAGE(K30:M30)</f>
        <v>#DIV/0!</v>
      </c>
    </row>
    <row r="31" spans="3:14" ht="15.6" x14ac:dyDescent="0.3">
      <c r="C31" s="411">
        <v>27</v>
      </c>
      <c r="D31" s="418" t="str">
        <f>TEXT(DATE(Year,MONTH(1&amp;Month),DateShiftStats),"ddd - dd/mm/yy")</f>
        <v>Mon - 27/11/17</v>
      </c>
      <c r="E31" s="282">
        <v>0</v>
      </c>
      <c r="F31" s="271">
        <v>0</v>
      </c>
      <c r="G31" s="283">
        <v>0</v>
      </c>
      <c r="H31" s="277">
        <f t="shared" si="0"/>
        <v>0</v>
      </c>
      <c r="J31" s="344" t="s">
        <v>113</v>
      </c>
      <c r="K31" s="347" t="e">
        <f>AVERAGEIF(D$5:D$35,J31,E$5:E$35)</f>
        <v>#DIV/0!</v>
      </c>
      <c r="L31" s="342" t="e">
        <f>AVERAGEIF(D$5:D$35,J31,F$5:F$35)</f>
        <v>#DIV/0!</v>
      </c>
      <c r="M31" s="342" t="e">
        <f>AVERAGEIF(D$5:D$35,J31,G$5:G$35)</f>
        <v>#DIV/0!</v>
      </c>
      <c r="N31" s="352" t="e">
        <f>AVERAGE(K31:M31)</f>
        <v>#DIV/0!</v>
      </c>
    </row>
    <row r="32" spans="3:14" ht="15.6" x14ac:dyDescent="0.3">
      <c r="C32" s="411">
        <v>28</v>
      </c>
      <c r="D32" s="418" t="str">
        <f>TEXT(DATE(Year,MONTH(1&amp;Month),DateShiftStats),"ddd - dd/mm/yy")</f>
        <v>Tue - 28/11/17</v>
      </c>
      <c r="E32" s="282">
        <v>0</v>
      </c>
      <c r="F32" s="271">
        <v>0</v>
      </c>
      <c r="G32" s="283">
        <v>0</v>
      </c>
      <c r="H32" s="277">
        <f t="shared" si="0"/>
        <v>0</v>
      </c>
      <c r="J32" s="344" t="s">
        <v>114</v>
      </c>
      <c r="K32" s="347" t="e">
        <f>AVERAGEIF(D$5:D$35,J32,E$5:E$35)</f>
        <v>#DIV/0!</v>
      </c>
      <c r="L32" s="342" t="e">
        <f>AVERAGEIF(D$5:D$35,J32,F$5:F$35)</f>
        <v>#DIV/0!</v>
      </c>
      <c r="M32" s="342" t="e">
        <f>AVERAGEIF(D$5:D$35,J32,G$5:G$35)</f>
        <v>#DIV/0!</v>
      </c>
      <c r="N32" s="352" t="e">
        <f t="shared" ref="N32:N36" si="3">AVERAGE(K32:M32)</f>
        <v>#DIV/0!</v>
      </c>
    </row>
    <row r="33" spans="3:14" ht="15.6" x14ac:dyDescent="0.3">
      <c r="C33" s="411">
        <v>29</v>
      </c>
      <c r="D33" s="418" t="str">
        <f>TEXT(DATE(Year,MONTH(1&amp;Month),DateShiftStats),"ddd - dd/mm/yy")</f>
        <v>Wed - 29/11/17</v>
      </c>
      <c r="E33" s="282">
        <v>0</v>
      </c>
      <c r="F33" s="271">
        <v>0</v>
      </c>
      <c r="G33" s="283">
        <v>0</v>
      </c>
      <c r="H33" s="277">
        <f t="shared" si="0"/>
        <v>0</v>
      </c>
      <c r="J33" s="344" t="s">
        <v>115</v>
      </c>
      <c r="K33" s="347" t="e">
        <f>AVERAGEIF(D$5:D$35,J33,E$5:E$35)</f>
        <v>#DIV/0!</v>
      </c>
      <c r="L33" s="342" t="e">
        <f>AVERAGEIF(D$5:D$35,J33,F$5:F$35)</f>
        <v>#DIV/0!</v>
      </c>
      <c r="M33" s="342" t="e">
        <f>AVERAGEIF(D$5:D$35,J33,G$5:G$35)</f>
        <v>#DIV/0!</v>
      </c>
      <c r="N33" s="352" t="e">
        <f t="shared" si="3"/>
        <v>#DIV/0!</v>
      </c>
    </row>
    <row r="34" spans="3:14" ht="15.6" x14ac:dyDescent="0.3">
      <c r="C34" s="411">
        <v>30</v>
      </c>
      <c r="D34" s="418" t="str">
        <f>TEXT(DATE(Year,MONTH(1&amp;Month),DateShiftStats),"ddd - dd/mm/yy")</f>
        <v>Thu - 30/11/17</v>
      </c>
      <c r="E34" s="282">
        <v>0</v>
      </c>
      <c r="F34" s="271">
        <v>0</v>
      </c>
      <c r="G34" s="283">
        <v>0</v>
      </c>
      <c r="H34" s="277">
        <f t="shared" si="0"/>
        <v>0</v>
      </c>
      <c r="J34" s="344" t="s">
        <v>116</v>
      </c>
      <c r="K34" s="347" t="e">
        <f>AVERAGEIF(D$5:D$35,J34,E$5:E$35)</f>
        <v>#DIV/0!</v>
      </c>
      <c r="L34" s="342" t="e">
        <f>AVERAGEIF(D$5:D$35,J34,F$5:F$35)</f>
        <v>#DIV/0!</v>
      </c>
      <c r="M34" s="342" t="e">
        <f>AVERAGEIF(D$5:D$35,J34,G$5:G$35)</f>
        <v>#DIV/0!</v>
      </c>
      <c r="N34" s="352" t="e">
        <f t="shared" si="3"/>
        <v>#DIV/0!</v>
      </c>
    </row>
    <row r="35" spans="3:14" ht="16.2" thickBot="1" x14ac:dyDescent="0.35">
      <c r="C35" s="415">
        <v>31</v>
      </c>
      <c r="D35" s="418" t="str">
        <f>TEXT(DATE(Year,MONTH(1&amp;Month),DateShiftStats),"ddd - dd/mm/yy")</f>
        <v>Fri - 01/12/17</v>
      </c>
      <c r="E35" s="284">
        <v>0</v>
      </c>
      <c r="F35" s="272">
        <v>0</v>
      </c>
      <c r="G35" s="285">
        <v>0</v>
      </c>
      <c r="H35" s="278">
        <f t="shared" si="0"/>
        <v>0</v>
      </c>
      <c r="J35" s="344" t="s">
        <v>117</v>
      </c>
      <c r="K35" s="347" t="e">
        <f>AVERAGEIF(D$5:D$35,J35,E$5:E$35)</f>
        <v>#DIV/0!</v>
      </c>
      <c r="L35" s="342" t="e">
        <f>AVERAGEIF(D$5:D$35,J35,F$5:F$35)</f>
        <v>#DIV/0!</v>
      </c>
      <c r="M35" s="342" t="e">
        <f>AVERAGEIF(D$5:D$35,J35,G$5:G$35)</f>
        <v>#DIV/0!</v>
      </c>
      <c r="N35" s="352" t="e">
        <f t="shared" si="3"/>
        <v>#DIV/0!</v>
      </c>
    </row>
    <row r="36" spans="3:14" ht="16.5" customHeight="1" thickBot="1" x14ac:dyDescent="0.35">
      <c r="C36" s="416" t="s">
        <v>125</v>
      </c>
      <c r="D36" s="417"/>
      <c r="E36" s="286">
        <f>SUM(E5:E35)</f>
        <v>0</v>
      </c>
      <c r="F36" s="287">
        <f t="shared" ref="F36:H36" si="4">SUM(F5:F35)</f>
        <v>0</v>
      </c>
      <c r="G36" s="288">
        <f t="shared" si="4"/>
        <v>0</v>
      </c>
      <c r="H36" s="289">
        <f t="shared" si="4"/>
        <v>0</v>
      </c>
      <c r="J36" s="345" t="s">
        <v>118</v>
      </c>
      <c r="K36" s="348" t="e">
        <f>AVERAGEIF(D$5:D$35,J36,E$5:E$35)</f>
        <v>#DIV/0!</v>
      </c>
      <c r="L36" s="349" t="e">
        <f>AVERAGEIF(D$5:D$35,J36,F$5:F$35)</f>
        <v>#DIV/0!</v>
      </c>
      <c r="M36" s="349" t="e">
        <f>AVERAGEIF(D$5:D$35,J36,G$5:G$35)</f>
        <v>#DIV/0!</v>
      </c>
      <c r="N36" s="352" t="e">
        <f t="shared" si="3"/>
        <v>#DIV/0!</v>
      </c>
    </row>
    <row r="37" spans="3:14" ht="16.5" customHeight="1" thickBot="1" x14ac:dyDescent="0.35">
      <c r="D37" s="270"/>
      <c r="J37" s="350" t="s">
        <v>122</v>
      </c>
      <c r="K37" s="354" t="e">
        <f>AVERAGE(K30:K36)</f>
        <v>#DIV/0!</v>
      </c>
      <c r="L37" s="354" t="e">
        <f t="shared" ref="L37:M37" si="5">AVERAGE(L30:L36)</f>
        <v>#DIV/0!</v>
      </c>
      <c r="M37" s="354" t="e">
        <f t="shared" si="5"/>
        <v>#DIV/0!</v>
      </c>
      <c r="N37" s="353"/>
    </row>
    <row r="38" spans="3:14" ht="16.5" customHeight="1" x14ac:dyDescent="0.25">
      <c r="D38" s="270"/>
    </row>
    <row r="39" spans="3:14" ht="16.5" customHeight="1" x14ac:dyDescent="0.25">
      <c r="D39" s="270"/>
    </row>
    <row r="40" spans="3:14" ht="16.5" customHeight="1" x14ac:dyDescent="0.25">
      <c r="D40" s="270"/>
    </row>
    <row r="41" spans="3:14" ht="16.5" customHeight="1" x14ac:dyDescent="0.25">
      <c r="D41" s="270"/>
    </row>
    <row r="42" spans="3:14" ht="16.5" customHeight="1" x14ac:dyDescent="0.25">
      <c r="D42" s="270"/>
    </row>
    <row r="43" spans="3:14" ht="16.5" customHeight="1" x14ac:dyDescent="0.25">
      <c r="D43" s="270"/>
    </row>
    <row r="44" spans="3:14" ht="16.5" customHeight="1" x14ac:dyDescent="0.25">
      <c r="D44" s="270"/>
    </row>
    <row r="45" spans="3:14" ht="16.5" customHeight="1" x14ac:dyDescent="0.25"/>
    <row r="46" spans="3:14" ht="16.5" customHeight="1" x14ac:dyDescent="0.25"/>
    <row r="47" spans="3:14" ht="16.5" customHeight="1" x14ac:dyDescent="0.25"/>
    <row r="48" spans="3:14" ht="16.5" customHeight="1" x14ac:dyDescent="0.25"/>
    <row r="49" ht="16.5" customHeight="1" x14ac:dyDescent="0.25"/>
    <row r="50" ht="16.5" customHeight="1" x14ac:dyDescent="0.25"/>
    <row r="51" ht="16.5" customHeight="1" x14ac:dyDescent="0.25"/>
    <row r="52" ht="16.5" customHeight="1" x14ac:dyDescent="0.25"/>
    <row r="53" ht="16.5" customHeight="1" x14ac:dyDescent="0.25"/>
    <row r="54" ht="16.5" customHeight="1" x14ac:dyDescent="0.25"/>
    <row r="55" ht="16.5" customHeight="1" x14ac:dyDescent="0.25"/>
    <row r="56" ht="16.5" customHeight="1" x14ac:dyDescent="0.25"/>
    <row r="57" ht="16.5" customHeight="1" x14ac:dyDescent="0.25"/>
    <row r="58" ht="16.5" customHeight="1" x14ac:dyDescent="0.25"/>
    <row r="59" ht="16.5" customHeight="1" x14ac:dyDescent="0.25"/>
    <row r="60" ht="16.5" customHeight="1" x14ac:dyDescent="0.25"/>
    <row r="61" ht="16.5" customHeight="1" x14ac:dyDescent="0.25"/>
    <row r="62" ht="16.5" customHeight="1" x14ac:dyDescent="0.25"/>
    <row r="63" ht="16.5" customHeight="1" x14ac:dyDescent="0.25"/>
    <row r="64" ht="16.5" customHeight="1" x14ac:dyDescent="0.25"/>
    <row r="65" ht="16.5" customHeight="1" x14ac:dyDescent="0.25"/>
  </sheetData>
  <sheetProtection sheet="1" objects="1" scenarios="1" selectLockedCells="1"/>
  <customSheetViews>
    <customSheetView guid="{E9A9889A-61F5-47D0-A5C6-BF43493EDD61}" showGridLines="0" showRowCol="0" topLeftCell="A5">
      <selection activeCell="F5" sqref="F5:H35"/>
    </customSheetView>
    <customSheetView guid="{505FDB09-1B2F-4C19-8222-6158EDD21A0E}" showGridLines="0" showRowCol="0" topLeftCell="A5">
      <selection activeCell="F5" sqref="F5:H35"/>
    </customSheetView>
    <customSheetView guid="{7982FB7F-E997-4C70-8B2B-B628B46385D2}" showGridLines="0" showRowCol="0" topLeftCell="A5">
      <selection activeCell="F5" sqref="F5:H35"/>
    </customSheetView>
  </customSheetViews>
  <mergeCells count="4">
    <mergeCell ref="J27:N28"/>
    <mergeCell ref="J3:N3"/>
    <mergeCell ref="C3:H3"/>
    <mergeCell ref="C36:D36"/>
  </mergeCells>
  <conditionalFormatting sqref="E5:G35">
    <cfRule type="cellIs" dxfId="2" priority="1" operator="greaterThanOrEqual">
      <formula>300</formula>
    </cfRule>
    <cfRule type="cellIs" dxfId="1" priority="2" operator="between">
      <formula>250</formula>
      <formula>300</formula>
    </cfRule>
    <cfRule type="cellIs" dxfId="0" priority="3" operator="greaterThanOrEqual">
      <formula>200</formula>
    </cfRule>
  </conditionalFormatting>
  <pageMargins left="0.25" right="0.25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VehiclesWithFruit"/>
  <dimension ref="C1:J55"/>
  <sheetViews>
    <sheetView showGridLines="0" showRowColHeaders="0" topLeftCell="A22" zoomScale="85" zoomScaleNormal="85" workbookViewId="0">
      <selection activeCell="I10" sqref="I10"/>
    </sheetView>
  </sheetViews>
  <sheetFormatPr defaultColWidth="9.109375" defaultRowHeight="15" x14ac:dyDescent="0.25"/>
  <cols>
    <col min="1" max="1" width="4.44140625" style="58" customWidth="1"/>
    <col min="2" max="2" width="4.6640625" style="58" customWidth="1"/>
    <col min="3" max="3" width="7.6640625" style="58" customWidth="1"/>
    <col min="4" max="9" width="8.6640625" style="58" customWidth="1"/>
    <col min="10" max="10" width="13" style="58" customWidth="1"/>
    <col min="11" max="16384" width="9.109375" style="58"/>
  </cols>
  <sheetData>
    <row r="1" spans="3:10" ht="15.6" thickBot="1" x14ac:dyDescent="0.3"/>
    <row r="2" spans="3:10" ht="15.6" x14ac:dyDescent="0.25">
      <c r="C2" s="385" t="str">
        <f xml:space="preserve"> "VEHICLES WITH FRUIT PASSING THROUGH " &amp; Location</f>
        <v>VEHICLES WITH FRUIT PASSING THROUGH OODLA WIRRA</v>
      </c>
      <c r="D2" s="386"/>
      <c r="E2" s="386"/>
      <c r="F2" s="386"/>
      <c r="G2" s="386"/>
      <c r="H2" s="386"/>
      <c r="I2" s="386"/>
      <c r="J2" s="387"/>
    </row>
    <row r="3" spans="3:10" ht="16.2" thickBot="1" x14ac:dyDescent="0.3">
      <c r="C3" s="388" t="str">
        <f>Month &amp; " " &amp; Year</f>
        <v>November 2017</v>
      </c>
      <c r="D3" s="389"/>
      <c r="E3" s="389"/>
      <c r="F3" s="389"/>
      <c r="G3" s="389"/>
      <c r="H3" s="389"/>
      <c r="I3" s="389"/>
      <c r="J3" s="390"/>
    </row>
    <row r="4" spans="3:10" s="60" customFormat="1" ht="31.8" thickBot="1" x14ac:dyDescent="0.3">
      <c r="C4" s="57" t="s">
        <v>0</v>
      </c>
      <c r="D4" s="57" t="s">
        <v>1</v>
      </c>
      <c r="E4" s="57" t="s">
        <v>2</v>
      </c>
      <c r="F4" s="57" t="s">
        <v>3</v>
      </c>
      <c r="G4" s="57" t="s">
        <v>4</v>
      </c>
      <c r="H4" s="57" t="s">
        <v>5</v>
      </c>
      <c r="I4" s="57" t="s">
        <v>48</v>
      </c>
      <c r="J4" s="59" t="s">
        <v>8</v>
      </c>
    </row>
    <row r="5" spans="3:10" ht="15.6" x14ac:dyDescent="0.3">
      <c r="C5" s="61">
        <v>1</v>
      </c>
      <c r="D5" s="41">
        <v>0</v>
      </c>
      <c r="E5" s="41">
        <v>0</v>
      </c>
      <c r="F5" s="41">
        <v>0</v>
      </c>
      <c r="G5" s="41">
        <v>0</v>
      </c>
      <c r="H5" s="41">
        <v>2</v>
      </c>
      <c r="I5" s="41">
        <v>0</v>
      </c>
      <c r="J5" s="62">
        <f t="shared" ref="J5:J35" si="0">SUM(D5:I5)</f>
        <v>2</v>
      </c>
    </row>
    <row r="6" spans="3:10" ht="15.6" x14ac:dyDescent="0.3">
      <c r="C6" s="63">
        <v>2</v>
      </c>
      <c r="D6" s="44">
        <v>0</v>
      </c>
      <c r="E6" s="44">
        <v>0</v>
      </c>
      <c r="F6" s="44">
        <v>0</v>
      </c>
      <c r="G6" s="44">
        <v>0</v>
      </c>
      <c r="H6" s="44">
        <v>0</v>
      </c>
      <c r="I6" s="44">
        <v>0</v>
      </c>
      <c r="J6" s="64">
        <f t="shared" si="0"/>
        <v>0</v>
      </c>
    </row>
    <row r="7" spans="3:10" ht="15.6" x14ac:dyDescent="0.3">
      <c r="C7" s="63">
        <v>3</v>
      </c>
      <c r="D7" s="44">
        <v>0</v>
      </c>
      <c r="E7" s="44">
        <v>0</v>
      </c>
      <c r="F7" s="44">
        <v>0</v>
      </c>
      <c r="G7" s="44">
        <v>0</v>
      </c>
      <c r="H7" s="44">
        <v>0</v>
      </c>
      <c r="I7" s="44">
        <v>0</v>
      </c>
      <c r="J7" s="64">
        <f t="shared" si="0"/>
        <v>0</v>
      </c>
    </row>
    <row r="8" spans="3:10" ht="15.6" x14ac:dyDescent="0.3">
      <c r="C8" s="63">
        <v>4</v>
      </c>
      <c r="D8" s="44">
        <v>0</v>
      </c>
      <c r="E8" s="44">
        <v>0</v>
      </c>
      <c r="F8" s="44">
        <v>0</v>
      </c>
      <c r="G8" s="44">
        <v>0</v>
      </c>
      <c r="H8" s="44">
        <v>0</v>
      </c>
      <c r="I8" s="44">
        <v>0</v>
      </c>
      <c r="J8" s="64">
        <f t="shared" si="0"/>
        <v>0</v>
      </c>
    </row>
    <row r="9" spans="3:10" ht="15.6" x14ac:dyDescent="0.3">
      <c r="C9" s="63">
        <v>5</v>
      </c>
      <c r="D9" s="44">
        <v>0</v>
      </c>
      <c r="E9" s="44">
        <v>0</v>
      </c>
      <c r="F9" s="44">
        <v>0</v>
      </c>
      <c r="G9" s="44">
        <v>0</v>
      </c>
      <c r="H9" s="44">
        <v>0</v>
      </c>
      <c r="I9" s="44">
        <v>0</v>
      </c>
      <c r="J9" s="64">
        <f t="shared" si="0"/>
        <v>0</v>
      </c>
    </row>
    <row r="10" spans="3:10" ht="15.6" x14ac:dyDescent="0.3">
      <c r="C10" s="63">
        <v>6</v>
      </c>
      <c r="D10" s="44">
        <v>0</v>
      </c>
      <c r="E10" s="44">
        <v>0</v>
      </c>
      <c r="F10" s="44">
        <v>0</v>
      </c>
      <c r="G10" s="44">
        <v>0</v>
      </c>
      <c r="H10" s="44">
        <v>0</v>
      </c>
      <c r="I10" s="44">
        <v>0</v>
      </c>
      <c r="J10" s="64">
        <f t="shared" si="0"/>
        <v>0</v>
      </c>
    </row>
    <row r="11" spans="3:10" ht="15.6" x14ac:dyDescent="0.3">
      <c r="C11" s="63">
        <v>7</v>
      </c>
      <c r="D11" s="44">
        <v>0</v>
      </c>
      <c r="E11" s="44">
        <v>0</v>
      </c>
      <c r="F11" s="44">
        <v>0</v>
      </c>
      <c r="G11" s="44">
        <v>0</v>
      </c>
      <c r="H11" s="44">
        <v>0</v>
      </c>
      <c r="I11" s="44">
        <v>0</v>
      </c>
      <c r="J11" s="64">
        <f t="shared" si="0"/>
        <v>0</v>
      </c>
    </row>
    <row r="12" spans="3:10" ht="15.6" x14ac:dyDescent="0.3">
      <c r="C12" s="63">
        <v>8</v>
      </c>
      <c r="D12" s="44">
        <v>0</v>
      </c>
      <c r="E12" s="44">
        <v>0</v>
      </c>
      <c r="F12" s="44">
        <v>0</v>
      </c>
      <c r="G12" s="44">
        <v>0</v>
      </c>
      <c r="H12" s="44">
        <v>0</v>
      </c>
      <c r="I12" s="44">
        <v>0</v>
      </c>
      <c r="J12" s="64">
        <f t="shared" si="0"/>
        <v>0</v>
      </c>
    </row>
    <row r="13" spans="3:10" ht="15.6" x14ac:dyDescent="0.3">
      <c r="C13" s="63">
        <v>9</v>
      </c>
      <c r="D13" s="44">
        <v>0</v>
      </c>
      <c r="E13" s="44">
        <v>0</v>
      </c>
      <c r="F13" s="44">
        <v>0</v>
      </c>
      <c r="G13" s="44">
        <v>0</v>
      </c>
      <c r="H13" s="44">
        <v>0</v>
      </c>
      <c r="I13" s="44">
        <v>0</v>
      </c>
      <c r="J13" s="64">
        <f t="shared" si="0"/>
        <v>0</v>
      </c>
    </row>
    <row r="14" spans="3:10" ht="15.6" x14ac:dyDescent="0.3">
      <c r="C14" s="63">
        <v>10</v>
      </c>
      <c r="D14" s="44">
        <v>0</v>
      </c>
      <c r="E14" s="44">
        <v>0</v>
      </c>
      <c r="F14" s="44">
        <v>0</v>
      </c>
      <c r="G14" s="44">
        <v>0</v>
      </c>
      <c r="H14" s="44">
        <v>0</v>
      </c>
      <c r="I14" s="44">
        <v>0</v>
      </c>
      <c r="J14" s="64">
        <f t="shared" si="0"/>
        <v>0</v>
      </c>
    </row>
    <row r="15" spans="3:10" ht="15.6" x14ac:dyDescent="0.3">
      <c r="C15" s="63">
        <v>11</v>
      </c>
      <c r="D15" s="44">
        <v>0</v>
      </c>
      <c r="E15" s="44">
        <v>0</v>
      </c>
      <c r="F15" s="44">
        <v>0</v>
      </c>
      <c r="G15" s="44">
        <v>0</v>
      </c>
      <c r="H15" s="44">
        <v>0</v>
      </c>
      <c r="I15" s="44">
        <v>0</v>
      </c>
      <c r="J15" s="64">
        <f t="shared" si="0"/>
        <v>0</v>
      </c>
    </row>
    <row r="16" spans="3:10" ht="15.6" x14ac:dyDescent="0.3">
      <c r="C16" s="63">
        <v>12</v>
      </c>
      <c r="D16" s="44">
        <v>0</v>
      </c>
      <c r="E16" s="44">
        <v>0</v>
      </c>
      <c r="F16" s="44">
        <v>0</v>
      </c>
      <c r="G16" s="44">
        <v>0</v>
      </c>
      <c r="H16" s="44">
        <v>0</v>
      </c>
      <c r="I16" s="44">
        <v>0</v>
      </c>
      <c r="J16" s="64">
        <f t="shared" si="0"/>
        <v>0</v>
      </c>
    </row>
    <row r="17" spans="3:10" ht="15.6" x14ac:dyDescent="0.3">
      <c r="C17" s="63">
        <v>13</v>
      </c>
      <c r="D17" s="44">
        <v>0</v>
      </c>
      <c r="E17" s="44">
        <v>0</v>
      </c>
      <c r="F17" s="44">
        <v>0</v>
      </c>
      <c r="G17" s="44">
        <v>0</v>
      </c>
      <c r="H17" s="44">
        <v>0</v>
      </c>
      <c r="I17" s="44">
        <v>0</v>
      </c>
      <c r="J17" s="64">
        <f t="shared" si="0"/>
        <v>0</v>
      </c>
    </row>
    <row r="18" spans="3:10" ht="15.6" x14ac:dyDescent="0.3">
      <c r="C18" s="63">
        <v>14</v>
      </c>
      <c r="D18" s="44">
        <v>0</v>
      </c>
      <c r="E18" s="44">
        <v>0</v>
      </c>
      <c r="F18" s="44">
        <v>0</v>
      </c>
      <c r="G18" s="44">
        <v>0</v>
      </c>
      <c r="H18" s="44">
        <v>0</v>
      </c>
      <c r="I18" s="44">
        <v>0</v>
      </c>
      <c r="J18" s="64">
        <f t="shared" si="0"/>
        <v>0</v>
      </c>
    </row>
    <row r="19" spans="3:10" ht="15.6" x14ac:dyDescent="0.3">
      <c r="C19" s="63">
        <v>15</v>
      </c>
      <c r="D19" s="44">
        <v>0</v>
      </c>
      <c r="E19" s="44">
        <v>0</v>
      </c>
      <c r="F19" s="44">
        <v>0</v>
      </c>
      <c r="G19" s="44">
        <v>0</v>
      </c>
      <c r="H19" s="44">
        <v>0</v>
      </c>
      <c r="I19" s="44">
        <v>0</v>
      </c>
      <c r="J19" s="64">
        <f t="shared" si="0"/>
        <v>0</v>
      </c>
    </row>
    <row r="20" spans="3:10" ht="15.6" x14ac:dyDescent="0.3">
      <c r="C20" s="63">
        <v>16</v>
      </c>
      <c r="D20" s="44">
        <v>0</v>
      </c>
      <c r="E20" s="44">
        <v>0</v>
      </c>
      <c r="F20" s="44">
        <v>0</v>
      </c>
      <c r="G20" s="44">
        <v>0</v>
      </c>
      <c r="H20" s="44">
        <v>0</v>
      </c>
      <c r="I20" s="44">
        <v>0</v>
      </c>
      <c r="J20" s="64">
        <f t="shared" si="0"/>
        <v>0</v>
      </c>
    </row>
    <row r="21" spans="3:10" ht="15.6" x14ac:dyDescent="0.3">
      <c r="C21" s="63">
        <v>17</v>
      </c>
      <c r="D21" s="44">
        <v>0</v>
      </c>
      <c r="E21" s="44">
        <v>0</v>
      </c>
      <c r="F21" s="44">
        <v>0</v>
      </c>
      <c r="G21" s="44">
        <v>0</v>
      </c>
      <c r="H21" s="44">
        <v>0</v>
      </c>
      <c r="I21" s="44">
        <v>0</v>
      </c>
      <c r="J21" s="64">
        <f t="shared" si="0"/>
        <v>0</v>
      </c>
    </row>
    <row r="22" spans="3:10" ht="15.6" x14ac:dyDescent="0.3">
      <c r="C22" s="63">
        <v>18</v>
      </c>
      <c r="D22" s="44">
        <v>0</v>
      </c>
      <c r="E22" s="44">
        <v>0</v>
      </c>
      <c r="F22" s="44">
        <v>0</v>
      </c>
      <c r="G22" s="44">
        <v>0</v>
      </c>
      <c r="H22" s="44">
        <v>0</v>
      </c>
      <c r="I22" s="44">
        <v>0</v>
      </c>
      <c r="J22" s="64">
        <f t="shared" si="0"/>
        <v>0</v>
      </c>
    </row>
    <row r="23" spans="3:10" ht="15.6" x14ac:dyDescent="0.3">
      <c r="C23" s="63">
        <v>19</v>
      </c>
      <c r="D23" s="44">
        <v>0</v>
      </c>
      <c r="E23" s="44">
        <v>0</v>
      </c>
      <c r="F23" s="44">
        <v>0</v>
      </c>
      <c r="G23" s="44">
        <v>0</v>
      </c>
      <c r="H23" s="44">
        <v>0</v>
      </c>
      <c r="I23" s="44">
        <v>0</v>
      </c>
      <c r="J23" s="64">
        <f t="shared" si="0"/>
        <v>0</v>
      </c>
    </row>
    <row r="24" spans="3:10" ht="15.6" x14ac:dyDescent="0.3">
      <c r="C24" s="63">
        <v>20</v>
      </c>
      <c r="D24" s="44">
        <v>0</v>
      </c>
      <c r="E24" s="44">
        <v>0</v>
      </c>
      <c r="F24" s="44">
        <v>0</v>
      </c>
      <c r="G24" s="44">
        <v>0</v>
      </c>
      <c r="H24" s="44">
        <v>0</v>
      </c>
      <c r="I24" s="44">
        <v>0</v>
      </c>
      <c r="J24" s="64">
        <f t="shared" si="0"/>
        <v>0</v>
      </c>
    </row>
    <row r="25" spans="3:10" ht="15.6" x14ac:dyDescent="0.3">
      <c r="C25" s="63">
        <v>21</v>
      </c>
      <c r="D25" s="44">
        <v>0</v>
      </c>
      <c r="E25" s="44">
        <v>0</v>
      </c>
      <c r="F25" s="44">
        <v>0</v>
      </c>
      <c r="G25" s="44">
        <v>0</v>
      </c>
      <c r="H25" s="44">
        <v>0</v>
      </c>
      <c r="I25" s="44">
        <v>0</v>
      </c>
      <c r="J25" s="64">
        <f t="shared" si="0"/>
        <v>0</v>
      </c>
    </row>
    <row r="26" spans="3:10" ht="15.6" x14ac:dyDescent="0.3">
      <c r="C26" s="63">
        <v>22</v>
      </c>
      <c r="D26" s="44">
        <v>0</v>
      </c>
      <c r="E26" s="44">
        <v>0</v>
      </c>
      <c r="F26" s="44">
        <v>0</v>
      </c>
      <c r="G26" s="44">
        <v>0</v>
      </c>
      <c r="H26" s="44">
        <v>0</v>
      </c>
      <c r="I26" s="44">
        <v>0</v>
      </c>
      <c r="J26" s="64">
        <f t="shared" si="0"/>
        <v>0</v>
      </c>
    </row>
    <row r="27" spans="3:10" ht="15.6" x14ac:dyDescent="0.3">
      <c r="C27" s="63">
        <v>23</v>
      </c>
      <c r="D27" s="44">
        <v>0</v>
      </c>
      <c r="E27" s="44">
        <v>0</v>
      </c>
      <c r="F27" s="44">
        <v>0</v>
      </c>
      <c r="G27" s="44">
        <v>0</v>
      </c>
      <c r="H27" s="44">
        <v>0</v>
      </c>
      <c r="I27" s="44">
        <v>0</v>
      </c>
      <c r="J27" s="64">
        <f t="shared" si="0"/>
        <v>0</v>
      </c>
    </row>
    <row r="28" spans="3:10" ht="15.6" x14ac:dyDescent="0.3">
      <c r="C28" s="63">
        <v>24</v>
      </c>
      <c r="D28" s="44">
        <v>0</v>
      </c>
      <c r="E28" s="44">
        <v>0</v>
      </c>
      <c r="F28" s="44">
        <v>0</v>
      </c>
      <c r="G28" s="44">
        <v>0</v>
      </c>
      <c r="H28" s="44">
        <v>0</v>
      </c>
      <c r="I28" s="44">
        <v>0</v>
      </c>
      <c r="J28" s="64">
        <f t="shared" si="0"/>
        <v>0</v>
      </c>
    </row>
    <row r="29" spans="3:10" ht="15.6" x14ac:dyDescent="0.3">
      <c r="C29" s="63">
        <v>25</v>
      </c>
      <c r="D29" s="44">
        <v>0</v>
      </c>
      <c r="E29" s="44">
        <v>0</v>
      </c>
      <c r="F29" s="44">
        <v>0</v>
      </c>
      <c r="G29" s="44">
        <v>0</v>
      </c>
      <c r="H29" s="44">
        <v>0</v>
      </c>
      <c r="I29" s="44">
        <v>0</v>
      </c>
      <c r="J29" s="64">
        <f t="shared" si="0"/>
        <v>0</v>
      </c>
    </row>
    <row r="30" spans="3:10" ht="15.6" x14ac:dyDescent="0.3">
      <c r="C30" s="63">
        <v>26</v>
      </c>
      <c r="D30" s="44">
        <v>0</v>
      </c>
      <c r="E30" s="44">
        <v>0</v>
      </c>
      <c r="F30" s="44">
        <v>0</v>
      </c>
      <c r="G30" s="44">
        <v>0</v>
      </c>
      <c r="H30" s="44">
        <v>0</v>
      </c>
      <c r="I30" s="44">
        <v>0</v>
      </c>
      <c r="J30" s="64">
        <f t="shared" si="0"/>
        <v>0</v>
      </c>
    </row>
    <row r="31" spans="3:10" ht="15.6" x14ac:dyDescent="0.3">
      <c r="C31" s="63">
        <v>27</v>
      </c>
      <c r="D31" s="44">
        <v>0</v>
      </c>
      <c r="E31" s="44">
        <v>0</v>
      </c>
      <c r="F31" s="44">
        <v>0</v>
      </c>
      <c r="G31" s="44">
        <v>0</v>
      </c>
      <c r="H31" s="44">
        <v>0</v>
      </c>
      <c r="I31" s="44">
        <v>0</v>
      </c>
      <c r="J31" s="64">
        <f t="shared" si="0"/>
        <v>0</v>
      </c>
    </row>
    <row r="32" spans="3:10" ht="15.6" x14ac:dyDescent="0.3">
      <c r="C32" s="63">
        <v>28</v>
      </c>
      <c r="D32" s="44">
        <v>0</v>
      </c>
      <c r="E32" s="44">
        <v>0</v>
      </c>
      <c r="F32" s="44">
        <v>0</v>
      </c>
      <c r="G32" s="44">
        <v>0</v>
      </c>
      <c r="H32" s="44">
        <v>0</v>
      </c>
      <c r="I32" s="44">
        <v>0</v>
      </c>
      <c r="J32" s="64">
        <f t="shared" si="0"/>
        <v>0</v>
      </c>
    </row>
    <row r="33" spans="3:10" ht="15.6" x14ac:dyDescent="0.3">
      <c r="C33" s="63">
        <v>29</v>
      </c>
      <c r="D33" s="44">
        <v>0</v>
      </c>
      <c r="E33" s="44">
        <v>0</v>
      </c>
      <c r="F33" s="44">
        <v>0</v>
      </c>
      <c r="G33" s="44">
        <v>0</v>
      </c>
      <c r="H33" s="44">
        <v>0</v>
      </c>
      <c r="I33" s="44">
        <v>0</v>
      </c>
      <c r="J33" s="64">
        <f t="shared" si="0"/>
        <v>0</v>
      </c>
    </row>
    <row r="34" spans="3:10" ht="15.6" x14ac:dyDescent="0.3">
      <c r="C34" s="63">
        <v>30</v>
      </c>
      <c r="D34" s="44">
        <v>0</v>
      </c>
      <c r="E34" s="44">
        <v>0</v>
      </c>
      <c r="F34" s="44">
        <v>0</v>
      </c>
      <c r="G34" s="44">
        <v>0</v>
      </c>
      <c r="H34" s="44">
        <v>0</v>
      </c>
      <c r="I34" s="44">
        <v>0</v>
      </c>
      <c r="J34" s="64">
        <f t="shared" si="0"/>
        <v>0</v>
      </c>
    </row>
    <row r="35" spans="3:10" ht="16.2" thickBot="1" x14ac:dyDescent="0.35">
      <c r="C35" s="65">
        <v>31</v>
      </c>
      <c r="D35" s="46">
        <v>0</v>
      </c>
      <c r="E35" s="46">
        <v>0</v>
      </c>
      <c r="F35" s="46">
        <v>0</v>
      </c>
      <c r="G35" s="46">
        <v>0</v>
      </c>
      <c r="H35" s="46">
        <v>0</v>
      </c>
      <c r="I35" s="46">
        <v>0</v>
      </c>
      <c r="J35" s="66">
        <f t="shared" si="0"/>
        <v>0</v>
      </c>
    </row>
    <row r="36" spans="3:10" x14ac:dyDescent="0.25">
      <c r="C36" s="67"/>
      <c r="D36" s="67"/>
      <c r="E36" s="67"/>
      <c r="F36" s="67"/>
      <c r="G36" s="67"/>
      <c r="H36" s="67"/>
      <c r="I36" s="67"/>
      <c r="J36" s="67"/>
    </row>
    <row r="37" spans="3:10" s="68" customFormat="1" ht="15.6" x14ac:dyDescent="0.3">
      <c r="C37" s="68" t="s">
        <v>20</v>
      </c>
      <c r="D37" s="69">
        <f t="shared" ref="D37:J37" si="1">SUM(D5:D35)</f>
        <v>0</v>
      </c>
      <c r="E37" s="69">
        <f t="shared" si="1"/>
        <v>0</v>
      </c>
      <c r="F37" s="69">
        <f t="shared" si="1"/>
        <v>0</v>
      </c>
      <c r="G37" s="69">
        <f t="shared" si="1"/>
        <v>0</v>
      </c>
      <c r="H37" s="69">
        <f t="shared" si="1"/>
        <v>2</v>
      </c>
      <c r="I37" s="69">
        <f t="shared" si="1"/>
        <v>0</v>
      </c>
      <c r="J37" s="69">
        <f t="shared" si="1"/>
        <v>2</v>
      </c>
    </row>
    <row r="38" spans="3:10" x14ac:dyDescent="0.25">
      <c r="D38" s="67"/>
      <c r="E38" s="67"/>
      <c r="F38" s="67"/>
      <c r="G38" s="67"/>
      <c r="H38" s="67"/>
      <c r="I38" s="67"/>
      <c r="J38" s="67"/>
    </row>
    <row r="39" spans="3:10" x14ac:dyDescent="0.25">
      <c r="D39" s="70">
        <f t="shared" ref="D39:I39" si="2">+D37/$J$37%</f>
        <v>0</v>
      </c>
      <c r="E39" s="70">
        <f t="shared" si="2"/>
        <v>0</v>
      </c>
      <c r="F39" s="70">
        <f t="shared" si="2"/>
        <v>0</v>
      </c>
      <c r="G39" s="70">
        <f t="shared" si="2"/>
        <v>0</v>
      </c>
      <c r="H39" s="70">
        <f t="shared" si="2"/>
        <v>100</v>
      </c>
      <c r="I39" s="70">
        <f t="shared" si="2"/>
        <v>0</v>
      </c>
      <c r="J39" s="70">
        <f>SUM(D39+E39+F39+G39+H39+I39)</f>
        <v>100</v>
      </c>
    </row>
    <row r="40" spans="3:10" x14ac:dyDescent="0.25">
      <c r="D40" s="67"/>
      <c r="E40" s="67"/>
      <c r="F40" s="67"/>
      <c r="G40" s="67"/>
      <c r="H40" s="67"/>
      <c r="I40" s="67"/>
      <c r="J40" s="67"/>
    </row>
    <row r="41" spans="3:10" x14ac:dyDescent="0.25">
      <c r="D41" s="67"/>
      <c r="E41" s="67"/>
      <c r="F41" s="67"/>
      <c r="G41" s="67"/>
      <c r="H41" s="67"/>
      <c r="I41" s="67"/>
      <c r="J41" s="67"/>
    </row>
    <row r="42" spans="3:10" x14ac:dyDescent="0.25">
      <c r="D42" s="67"/>
      <c r="E42" s="67"/>
      <c r="F42" s="67"/>
      <c r="G42" s="67"/>
      <c r="H42" s="67"/>
      <c r="I42" s="67"/>
      <c r="J42" s="67"/>
    </row>
    <row r="43" spans="3:10" x14ac:dyDescent="0.25">
      <c r="D43" s="67"/>
      <c r="E43" s="67"/>
      <c r="F43" s="67"/>
      <c r="G43" s="67"/>
      <c r="H43" s="67"/>
      <c r="I43" s="67"/>
      <c r="J43" s="67"/>
    </row>
    <row r="44" spans="3:10" x14ac:dyDescent="0.25">
      <c r="D44" s="67"/>
      <c r="E44" s="67"/>
      <c r="F44" s="67"/>
      <c r="G44" s="67"/>
      <c r="H44" s="67"/>
      <c r="I44" s="67"/>
      <c r="J44" s="67"/>
    </row>
    <row r="45" spans="3:10" x14ac:dyDescent="0.25">
      <c r="D45" s="67"/>
      <c r="E45" s="67"/>
      <c r="F45" s="67"/>
      <c r="G45" s="67"/>
      <c r="H45" s="67"/>
      <c r="I45" s="67"/>
      <c r="J45" s="67"/>
    </row>
    <row r="46" spans="3:10" x14ac:dyDescent="0.25">
      <c r="D46" s="67"/>
      <c r="E46" s="67"/>
      <c r="F46" s="67"/>
      <c r="G46" s="67"/>
      <c r="H46" s="67"/>
      <c r="I46" s="67"/>
      <c r="J46" s="67"/>
    </row>
    <row r="47" spans="3:10" x14ac:dyDescent="0.25">
      <c r="D47" s="67"/>
      <c r="E47" s="67"/>
      <c r="F47" s="67"/>
      <c r="G47" s="67"/>
      <c r="H47" s="67"/>
      <c r="I47" s="67"/>
      <c r="J47" s="67"/>
    </row>
    <row r="48" spans="3:10" x14ac:dyDescent="0.25">
      <c r="D48" s="67"/>
      <c r="E48" s="67"/>
      <c r="F48" s="67"/>
      <c r="G48" s="67"/>
      <c r="H48" s="67"/>
      <c r="I48" s="67"/>
      <c r="J48" s="67"/>
    </row>
    <row r="49" spans="4:10" x14ac:dyDescent="0.25">
      <c r="D49" s="67"/>
      <c r="E49" s="67"/>
      <c r="F49" s="67"/>
      <c r="G49" s="67"/>
      <c r="H49" s="67"/>
      <c r="I49" s="67"/>
      <c r="J49" s="67"/>
    </row>
    <row r="50" spans="4:10" x14ac:dyDescent="0.25">
      <c r="D50" s="67"/>
      <c r="E50" s="67"/>
      <c r="F50" s="67"/>
      <c r="G50" s="67"/>
      <c r="H50" s="67"/>
      <c r="I50" s="67"/>
      <c r="J50" s="67"/>
    </row>
    <row r="51" spans="4:10" x14ac:dyDescent="0.25">
      <c r="D51" s="67"/>
      <c r="E51" s="67"/>
      <c r="F51" s="67"/>
      <c r="G51" s="67"/>
      <c r="H51" s="67"/>
      <c r="I51" s="67"/>
      <c r="J51" s="67"/>
    </row>
    <row r="52" spans="4:10" x14ac:dyDescent="0.25">
      <c r="D52" s="67"/>
      <c r="E52" s="67"/>
      <c r="F52" s="67"/>
      <c r="G52" s="67"/>
      <c r="H52" s="67"/>
      <c r="I52" s="67"/>
      <c r="J52" s="67"/>
    </row>
    <row r="53" spans="4:10" x14ac:dyDescent="0.25">
      <c r="D53" s="67"/>
      <c r="E53" s="67"/>
      <c r="F53" s="67"/>
      <c r="G53" s="67"/>
      <c r="H53" s="67"/>
      <c r="I53" s="67"/>
      <c r="J53" s="67"/>
    </row>
    <row r="54" spans="4:10" x14ac:dyDescent="0.25">
      <c r="D54" s="67"/>
      <c r="E54" s="67"/>
      <c r="F54" s="67"/>
      <c r="G54" s="67"/>
      <c r="H54" s="67"/>
      <c r="I54" s="67"/>
      <c r="J54" s="67"/>
    </row>
    <row r="55" spans="4:10" x14ac:dyDescent="0.25">
      <c r="D55" s="67"/>
      <c r="E55" s="67"/>
      <c r="F55" s="67"/>
      <c r="G55" s="67"/>
      <c r="H55" s="67"/>
      <c r="I55" s="67"/>
      <c r="J55" s="67"/>
    </row>
  </sheetData>
  <sheetProtection sheet="1" objects="1" scenarios="1" selectLockedCells="1"/>
  <customSheetViews>
    <customSheetView guid="{E9A9889A-61F5-47D0-A5C6-BF43493EDD61}" scale="85" showGridLines="0" showRowCol="0">
      <selection activeCell="D5" sqref="D5"/>
    </customSheetView>
    <customSheetView guid="{505FDB09-1B2F-4C19-8222-6158EDD21A0E}" scale="85" showGridLines="0" showRowCol="0">
      <selection activeCell="D5" sqref="D5"/>
    </customSheetView>
    <customSheetView guid="{7982FB7F-E997-4C70-8B2B-B628B46385D2}" scale="85" showGridLines="0" showRowCol="0">
      <selection activeCell="D5" sqref="D5"/>
    </customSheetView>
    <customSheetView guid="{9679493F-7CDF-46D6-BE72-B12FE11A478F}" scale="85" showGridLines="0" showRowCol="0">
      <selection activeCell="D5" sqref="D5"/>
    </customSheetView>
  </customSheetViews>
  <mergeCells count="2">
    <mergeCell ref="C2:J2"/>
    <mergeCell ref="C3:J3"/>
  </mergeCells>
  <phoneticPr fontId="5" type="noConversion"/>
  <printOptions gridLinesSet="0"/>
  <pageMargins left="1.0900000000000001" right="0.19685039370078741" top="0.47" bottom="0.27" header="0.15748031496062992" footer="0"/>
  <pageSetup paperSize="9" scale="110"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eviousData"/>
  <dimension ref="C2:I22"/>
  <sheetViews>
    <sheetView showGridLines="0" showRowColHeaders="0" zoomScale="160" workbookViewId="0">
      <selection activeCell="E40" sqref="E40"/>
    </sheetView>
  </sheetViews>
  <sheetFormatPr defaultColWidth="8.88671875" defaultRowHeight="13.2" x14ac:dyDescent="0.25"/>
  <cols>
    <col min="1" max="3" width="4.6640625" style="101" customWidth="1"/>
    <col min="4" max="16384" width="8.88671875" style="101"/>
  </cols>
  <sheetData>
    <row r="2" spans="3:9" ht="17.399999999999999" x14ac:dyDescent="0.3">
      <c r="C2" s="108" t="str">
        <f>Location &amp; " Roadblock - Totals to the end of last month"</f>
        <v>OODLA WIRRA Roadblock - Totals to the end of last month</v>
      </c>
      <c r="D2" s="109"/>
      <c r="E2" s="109"/>
      <c r="F2" s="108"/>
    </row>
    <row r="3" spans="3:9" ht="15.6" thickBot="1" x14ac:dyDescent="0.3">
      <c r="E3" s="102"/>
    </row>
    <row r="4" spans="3:9" ht="15.6" thickBot="1" x14ac:dyDescent="0.3">
      <c r="C4" s="103"/>
      <c r="D4" s="104"/>
      <c r="E4" s="265"/>
      <c r="F4" s="104"/>
      <c r="G4" s="263" t="s">
        <v>96</v>
      </c>
      <c r="H4" s="309"/>
    </row>
    <row r="5" spans="3:9" ht="15.6" thickBot="1" x14ac:dyDescent="0.3">
      <c r="C5" s="103"/>
      <c r="D5" s="104"/>
      <c r="E5" s="104"/>
      <c r="F5" s="104"/>
      <c r="G5" s="105" t="s">
        <v>98</v>
      </c>
      <c r="H5" s="266"/>
    </row>
    <row r="6" spans="3:9" ht="15.6" thickBot="1" x14ac:dyDescent="0.3">
      <c r="C6" s="103"/>
      <c r="D6" s="104"/>
      <c r="E6" s="104"/>
      <c r="F6" s="104"/>
      <c r="G6" s="303" t="s">
        <v>108</v>
      </c>
      <c r="H6" s="266"/>
    </row>
    <row r="7" spans="3:9" ht="15.6" thickBot="1" x14ac:dyDescent="0.3">
      <c r="C7" s="103"/>
      <c r="D7" s="104"/>
      <c r="E7" s="104"/>
      <c r="F7" s="104"/>
      <c r="G7" s="105" t="s">
        <v>97</v>
      </c>
      <c r="H7" s="266"/>
    </row>
    <row r="8" spans="3:9" ht="15.6" thickBot="1" x14ac:dyDescent="0.3">
      <c r="C8" s="103"/>
      <c r="D8" s="104"/>
      <c r="E8" s="104"/>
      <c r="F8" s="104"/>
      <c r="G8" s="105" t="s">
        <v>31</v>
      </c>
      <c r="H8" s="266"/>
    </row>
    <row r="9" spans="3:9" ht="15.6" thickBot="1" x14ac:dyDescent="0.3">
      <c r="G9" s="106"/>
      <c r="H9" s="107"/>
    </row>
    <row r="10" spans="3:9" ht="15.6" thickBot="1" x14ac:dyDescent="0.3">
      <c r="C10" s="103"/>
      <c r="D10" s="104"/>
      <c r="E10" s="104"/>
      <c r="F10" s="104"/>
      <c r="G10" s="105" t="s">
        <v>40</v>
      </c>
      <c r="H10" s="309"/>
    </row>
    <row r="11" spans="3:9" ht="15.6" thickBot="1" x14ac:dyDescent="0.3">
      <c r="C11" s="103"/>
      <c r="D11" s="104"/>
      <c r="E11" s="104"/>
      <c r="F11" s="104"/>
      <c r="G11" s="105" t="s">
        <v>39</v>
      </c>
      <c r="H11" s="309"/>
    </row>
    <row r="12" spans="3:9" ht="15.6" thickBot="1" x14ac:dyDescent="0.3">
      <c r="C12" s="103"/>
      <c r="D12" s="104"/>
      <c r="E12" s="104"/>
      <c r="F12" s="104"/>
      <c r="G12" s="105" t="s">
        <v>32</v>
      </c>
      <c r="H12" s="310">
        <f>SUM(H10:H11)</f>
        <v>0</v>
      </c>
    </row>
    <row r="13" spans="3:9" ht="15.6" thickBot="1" x14ac:dyDescent="0.3">
      <c r="I13" s="106"/>
    </row>
    <row r="14" spans="3:9" ht="15.6" thickBot="1" x14ac:dyDescent="0.3">
      <c r="C14" s="103"/>
      <c r="D14" s="104"/>
      <c r="E14" s="104"/>
      <c r="F14" s="104"/>
      <c r="G14" s="105" t="s">
        <v>33</v>
      </c>
      <c r="H14" s="266"/>
    </row>
    <row r="15" spans="3:9" ht="15.6" thickBot="1" x14ac:dyDescent="0.3">
      <c r="C15" s="103"/>
      <c r="D15" s="104"/>
      <c r="E15" s="104"/>
      <c r="F15" s="104"/>
      <c r="G15" s="105" t="s">
        <v>34</v>
      </c>
      <c r="H15" s="266"/>
    </row>
    <row r="16" spans="3:9" ht="15.6" thickBot="1" x14ac:dyDescent="0.3">
      <c r="C16" s="103"/>
      <c r="D16" s="104"/>
      <c r="E16" s="104"/>
      <c r="F16" s="104"/>
      <c r="G16" s="105" t="s">
        <v>35</v>
      </c>
      <c r="H16" s="266"/>
    </row>
    <row r="17" spans="3:8" ht="15.6" thickBot="1" x14ac:dyDescent="0.3">
      <c r="C17" s="103"/>
      <c r="D17" s="104"/>
      <c r="E17" s="104"/>
      <c r="F17" s="104"/>
      <c r="G17" s="105" t="s">
        <v>36</v>
      </c>
      <c r="H17" s="266"/>
    </row>
    <row r="18" spans="3:8" ht="15.6" thickBot="1" x14ac:dyDescent="0.3">
      <c r="C18" s="103"/>
      <c r="D18" s="104"/>
      <c r="E18" s="104"/>
      <c r="F18" s="104"/>
      <c r="G18" s="105" t="s">
        <v>44</v>
      </c>
      <c r="H18" s="110">
        <f>SUM(H14:H17)</f>
        <v>0</v>
      </c>
    </row>
    <row r="19" spans="3:8" ht="15.6" thickBot="1" x14ac:dyDescent="0.3">
      <c r="C19" s="251"/>
      <c r="D19" s="251"/>
      <c r="E19" s="251"/>
      <c r="F19" s="251"/>
      <c r="G19" s="252"/>
      <c r="H19" s="253"/>
    </row>
    <row r="20" spans="3:8" ht="15.6" thickBot="1" x14ac:dyDescent="0.3">
      <c r="C20" s="103"/>
      <c r="D20" s="104"/>
      <c r="E20" s="104"/>
      <c r="F20" s="104"/>
      <c r="G20" s="244" t="s">
        <v>90</v>
      </c>
      <c r="H20" s="256"/>
    </row>
    <row r="21" spans="3:8" ht="13.8" thickBot="1" x14ac:dyDescent="0.3"/>
    <row r="22" spans="3:8" ht="15.6" thickBot="1" x14ac:dyDescent="0.3">
      <c r="C22" s="391" t="s">
        <v>86</v>
      </c>
      <c r="D22" s="392"/>
      <c r="E22" s="392"/>
      <c r="F22" s="392"/>
      <c r="G22" s="393"/>
      <c r="H22" s="245"/>
    </row>
  </sheetData>
  <sheetProtection sheet="1" objects="1" scenarios="1" selectLockedCells="1"/>
  <customSheetViews>
    <customSheetView guid="{E9A9889A-61F5-47D0-A5C6-BF43493EDD61}" scale="160" showGridLines="0" showRowCol="0">
      <selection activeCell="E40" sqref="E40"/>
    </customSheetView>
    <customSheetView guid="{505FDB09-1B2F-4C19-8222-6158EDD21A0E}" scale="160" showGridLines="0" showRowCol="0">
      <selection activeCell="E40" sqref="E40"/>
    </customSheetView>
    <customSheetView guid="{7982FB7F-E997-4C70-8B2B-B628B46385D2}" scale="160" showGridLines="0" showRowCol="0">
      <selection activeCell="E40" sqref="E40"/>
    </customSheetView>
    <customSheetView guid="{9679493F-7CDF-46D6-BE72-B12FE11A478F}" scale="160" showGridLines="0" showRowCol="0">
      <selection activeCell="E40" sqref="E40"/>
    </customSheetView>
  </customSheetViews>
  <mergeCells count="1">
    <mergeCell ref="C22:G22"/>
  </mergeCells>
  <phoneticPr fontId="5" type="noConversion"/>
  <pageMargins left="0.75" right="0.75" top="1" bottom="1" header="0.5" footer="0.5"/>
  <pageSetup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oodland"/>
  <dimension ref="B1:F35"/>
  <sheetViews>
    <sheetView showGridLines="0" showRowColHeaders="0" zoomScale="115" zoomScaleNormal="115" workbookViewId="0">
      <selection activeCell="C10" sqref="C10"/>
    </sheetView>
  </sheetViews>
  <sheetFormatPr defaultColWidth="9.109375" defaultRowHeight="14.4" x14ac:dyDescent="0.3"/>
  <cols>
    <col min="1" max="1" width="9.109375" style="232"/>
    <col min="2" max="2" width="9.109375" style="232" customWidth="1"/>
    <col min="3" max="6" width="14.6640625" style="232" customWidth="1"/>
    <col min="7" max="16384" width="9.109375" style="232"/>
  </cols>
  <sheetData>
    <row r="1" spans="2:6" s="223" customFormat="1" x14ac:dyDescent="0.3"/>
    <row r="2" spans="2:6" s="223" customFormat="1" ht="23.4" x14ac:dyDescent="0.45">
      <c r="C2" s="246" t="s">
        <v>87</v>
      </c>
      <c r="D2" s="246"/>
    </row>
    <row r="3" spans="2:6" s="223" customFormat="1" ht="15" thickBot="1" x14ac:dyDescent="0.35"/>
    <row r="4" spans="2:6" s="223" customFormat="1" ht="15" thickTop="1" x14ac:dyDescent="0.3">
      <c r="B4" s="224" t="s">
        <v>80</v>
      </c>
      <c r="C4" s="247">
        <f>PBal -F5+F4</f>
        <v>0</v>
      </c>
      <c r="E4" s="224" t="s">
        <v>81</v>
      </c>
      <c r="F4" s="225">
        <f>SUM(E10:E34)</f>
        <v>0</v>
      </c>
    </row>
    <row r="5" spans="2:6" s="223" customFormat="1" ht="15" thickBot="1" x14ac:dyDescent="0.35">
      <c r="B5" s="226" t="s">
        <v>82</v>
      </c>
      <c r="C5" s="227">
        <f>PreviousFoodlandBalance</f>
        <v>0</v>
      </c>
      <c r="E5" s="226" t="s">
        <v>83</v>
      </c>
      <c r="F5" s="227">
        <f>SUM(D10:D34)</f>
        <v>0</v>
      </c>
    </row>
    <row r="6" spans="2:6" s="223" customFormat="1" ht="8.25" customHeight="1" thickTop="1" x14ac:dyDescent="0.3">
      <c r="B6" s="228"/>
      <c r="C6" s="268"/>
      <c r="E6" s="228"/>
      <c r="F6" s="229"/>
    </row>
    <row r="7" spans="2:6" s="230" customFormat="1" ht="8.25" customHeight="1" thickBot="1" x14ac:dyDescent="0.35">
      <c r="C7" s="269"/>
      <c r="F7" s="231"/>
    </row>
    <row r="8" spans="2:6" ht="15.6" thickTop="1" thickBot="1" x14ac:dyDescent="0.35"/>
    <row r="9" spans="2:6" ht="15.6" thickTop="1" thickBot="1" x14ac:dyDescent="0.35">
      <c r="C9" s="233" t="s">
        <v>84</v>
      </c>
      <c r="D9" s="267" t="s">
        <v>99</v>
      </c>
      <c r="E9" s="267" t="s">
        <v>100</v>
      </c>
      <c r="F9" s="234" t="s">
        <v>85</v>
      </c>
    </row>
    <row r="10" spans="2:6" ht="15" thickTop="1" x14ac:dyDescent="0.3">
      <c r="C10" s="235"/>
      <c r="D10" s="236"/>
      <c r="E10" s="236"/>
      <c r="F10" s="225" t="str">
        <f>IF(OR(D10&lt;&gt;0,E10&lt;&gt;0),PBal-D10+E10,"")</f>
        <v/>
      </c>
    </row>
    <row r="11" spans="2:6" x14ac:dyDescent="0.3">
      <c r="C11" s="237"/>
      <c r="D11" s="238"/>
      <c r="E11" s="238"/>
      <c r="F11" s="239" t="str">
        <f>IF(OR(D11&lt;&gt;0,E11&lt;&gt;0),F10-D11+E11,"")</f>
        <v/>
      </c>
    </row>
    <row r="12" spans="2:6" s="240" customFormat="1" x14ac:dyDescent="0.3">
      <c r="C12" s="241"/>
      <c r="D12" s="238"/>
      <c r="E12" s="238"/>
      <c r="F12" s="239" t="str">
        <f t="shared" ref="F12:F34" si="0">IF(OR(D12&lt;&gt;0,E12&lt;&gt;0),F11-D12+E12,"")</f>
        <v/>
      </c>
    </row>
    <row r="13" spans="2:6" s="240" customFormat="1" x14ac:dyDescent="0.3">
      <c r="C13" s="241"/>
      <c r="D13" s="238"/>
      <c r="E13" s="238"/>
      <c r="F13" s="239" t="str">
        <f t="shared" si="0"/>
        <v/>
      </c>
    </row>
    <row r="14" spans="2:6" s="240" customFormat="1" x14ac:dyDescent="0.3">
      <c r="C14" s="241"/>
      <c r="D14" s="238"/>
      <c r="E14" s="238"/>
      <c r="F14" s="239" t="str">
        <f t="shared" si="0"/>
        <v/>
      </c>
    </row>
    <row r="15" spans="2:6" x14ac:dyDescent="0.3">
      <c r="C15" s="237"/>
      <c r="D15" s="238"/>
      <c r="E15" s="238"/>
      <c r="F15" s="239" t="str">
        <f t="shared" si="0"/>
        <v/>
      </c>
    </row>
    <row r="16" spans="2:6" x14ac:dyDescent="0.3">
      <c r="C16" s="237"/>
      <c r="D16" s="238"/>
      <c r="E16" s="238"/>
      <c r="F16" s="239" t="str">
        <f t="shared" si="0"/>
        <v/>
      </c>
    </row>
    <row r="17" spans="3:6" s="240" customFormat="1" x14ac:dyDescent="0.3">
      <c r="C17" s="241"/>
      <c r="D17" s="238"/>
      <c r="E17" s="238"/>
      <c r="F17" s="239" t="str">
        <f t="shared" si="0"/>
        <v/>
      </c>
    </row>
    <row r="18" spans="3:6" s="240" customFormat="1" x14ac:dyDescent="0.3">
      <c r="C18" s="241"/>
      <c r="D18" s="238"/>
      <c r="E18" s="238"/>
      <c r="F18" s="239" t="str">
        <f t="shared" si="0"/>
        <v/>
      </c>
    </row>
    <row r="19" spans="3:6" s="240" customFormat="1" x14ac:dyDescent="0.3">
      <c r="C19" s="241"/>
      <c r="D19" s="238"/>
      <c r="E19" s="238"/>
      <c r="F19" s="239" t="str">
        <f t="shared" si="0"/>
        <v/>
      </c>
    </row>
    <row r="20" spans="3:6" x14ac:dyDescent="0.3">
      <c r="C20" s="237"/>
      <c r="D20" s="238"/>
      <c r="E20" s="238"/>
      <c r="F20" s="239" t="str">
        <f t="shared" si="0"/>
        <v/>
      </c>
    </row>
    <row r="21" spans="3:6" x14ac:dyDescent="0.3">
      <c r="C21" s="237"/>
      <c r="D21" s="238"/>
      <c r="E21" s="238"/>
      <c r="F21" s="239" t="str">
        <f t="shared" si="0"/>
        <v/>
      </c>
    </row>
    <row r="22" spans="3:6" x14ac:dyDescent="0.3">
      <c r="C22" s="237"/>
      <c r="D22" s="238"/>
      <c r="E22" s="238"/>
      <c r="F22" s="239" t="str">
        <f t="shared" si="0"/>
        <v/>
      </c>
    </row>
    <row r="23" spans="3:6" x14ac:dyDescent="0.3">
      <c r="C23" s="237"/>
      <c r="D23" s="238"/>
      <c r="E23" s="238"/>
      <c r="F23" s="239" t="str">
        <f t="shared" si="0"/>
        <v/>
      </c>
    </row>
    <row r="24" spans="3:6" x14ac:dyDescent="0.3">
      <c r="C24" s="237"/>
      <c r="D24" s="238"/>
      <c r="E24" s="238"/>
      <c r="F24" s="239" t="str">
        <f t="shared" si="0"/>
        <v/>
      </c>
    </row>
    <row r="25" spans="3:6" x14ac:dyDescent="0.3">
      <c r="C25" s="237"/>
      <c r="D25" s="238"/>
      <c r="E25" s="238"/>
      <c r="F25" s="239" t="str">
        <f t="shared" si="0"/>
        <v/>
      </c>
    </row>
    <row r="26" spans="3:6" x14ac:dyDescent="0.3">
      <c r="C26" s="237"/>
      <c r="D26" s="238"/>
      <c r="E26" s="238"/>
      <c r="F26" s="239" t="str">
        <f t="shared" si="0"/>
        <v/>
      </c>
    </row>
    <row r="27" spans="3:6" x14ac:dyDescent="0.3">
      <c r="C27" s="237"/>
      <c r="D27" s="238"/>
      <c r="E27" s="238"/>
      <c r="F27" s="239" t="str">
        <f t="shared" si="0"/>
        <v/>
      </c>
    </row>
    <row r="28" spans="3:6" x14ac:dyDescent="0.3">
      <c r="C28" s="237"/>
      <c r="D28" s="238"/>
      <c r="E28" s="238"/>
      <c r="F28" s="239" t="str">
        <f t="shared" si="0"/>
        <v/>
      </c>
    </row>
    <row r="29" spans="3:6" x14ac:dyDescent="0.3">
      <c r="C29" s="237"/>
      <c r="D29" s="238"/>
      <c r="E29" s="238"/>
      <c r="F29" s="239" t="str">
        <f t="shared" si="0"/>
        <v/>
      </c>
    </row>
    <row r="30" spans="3:6" x14ac:dyDescent="0.3">
      <c r="C30" s="237"/>
      <c r="D30" s="238"/>
      <c r="E30" s="238"/>
      <c r="F30" s="239" t="str">
        <f t="shared" si="0"/>
        <v/>
      </c>
    </row>
    <row r="31" spans="3:6" x14ac:dyDescent="0.3">
      <c r="C31" s="237"/>
      <c r="D31" s="238"/>
      <c r="E31" s="238"/>
      <c r="F31" s="239" t="str">
        <f t="shared" si="0"/>
        <v/>
      </c>
    </row>
    <row r="32" spans="3:6" x14ac:dyDescent="0.3">
      <c r="C32" s="237"/>
      <c r="D32" s="238"/>
      <c r="E32" s="238"/>
      <c r="F32" s="239" t="str">
        <f t="shared" si="0"/>
        <v/>
      </c>
    </row>
    <row r="33" spans="3:6" x14ac:dyDescent="0.3">
      <c r="C33" s="237"/>
      <c r="D33" s="238"/>
      <c r="E33" s="238"/>
      <c r="F33" s="239" t="str">
        <f t="shared" si="0"/>
        <v/>
      </c>
    </row>
    <row r="34" spans="3:6" ht="15" thickBot="1" x14ac:dyDescent="0.35">
      <c r="C34" s="242"/>
      <c r="D34" s="243"/>
      <c r="E34" s="243"/>
      <c r="F34" s="227" t="str">
        <f t="shared" si="0"/>
        <v/>
      </c>
    </row>
    <row r="35" spans="3:6" ht="15" thickTop="1" x14ac:dyDescent="0.3"/>
  </sheetData>
  <sheetProtection sheet="1" objects="1" scenarios="1" selectLockedCells="1"/>
  <customSheetViews>
    <customSheetView guid="{E9A9889A-61F5-47D0-A5C6-BF43493EDD61}" scale="115" showGridLines="0" showRowCol="0">
      <selection activeCell="C10" sqref="C10"/>
    </customSheetView>
    <customSheetView guid="{505FDB09-1B2F-4C19-8222-6158EDD21A0E}" scale="115" showGridLines="0" showRowCol="0">
      <selection activeCell="C10" sqref="C10"/>
    </customSheetView>
    <customSheetView guid="{7982FB7F-E997-4C70-8B2B-B628B46385D2}" scale="115" showGridLines="0" showRowCol="0">
      <selection activeCell="C10" sqref="C10"/>
    </customSheetView>
    <customSheetView guid="{9679493F-7CDF-46D6-BE72-B12FE11A478F}" scale="115" showGridLines="0" showRowCol="0">
      <selection activeCell="C10" sqref="C10"/>
    </customSheetView>
  </customSheetView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tockTotals"/>
  <dimension ref="A3:F10"/>
  <sheetViews>
    <sheetView showGridLines="0" showRowColHeaders="0" workbookViewId="0">
      <selection activeCell="D6" sqref="D6"/>
    </sheetView>
  </sheetViews>
  <sheetFormatPr defaultRowHeight="13.2" x14ac:dyDescent="0.25"/>
  <cols>
    <col min="1" max="1" width="18.44140625" customWidth="1"/>
    <col min="2" max="2" width="17.88671875" customWidth="1"/>
    <col min="3" max="3" width="15.109375" customWidth="1"/>
  </cols>
  <sheetData>
    <row r="3" spans="1:6" ht="15.6" x14ac:dyDescent="0.3">
      <c r="A3" s="5"/>
      <c r="B3" s="78" t="str">
        <f>Location &amp;" Roadblock, Stock Totals - "&amp; Month &amp; ", " &amp; Year</f>
        <v>OODLA WIRRA Roadblock, Stock Totals - November, 2017</v>
      </c>
      <c r="C3" s="5"/>
      <c r="D3" s="5"/>
      <c r="E3" s="5"/>
      <c r="F3" s="5"/>
    </row>
    <row r="4" spans="1:6" ht="13.8" thickBot="1" x14ac:dyDescent="0.3"/>
    <row r="5" spans="1:6" ht="13.8" thickTop="1" x14ac:dyDescent="0.25">
      <c r="C5" s="79" t="s">
        <v>24</v>
      </c>
      <c r="D5" s="75"/>
    </row>
    <row r="6" spans="1:6" x14ac:dyDescent="0.25">
      <c r="C6" s="80" t="s">
        <v>25</v>
      </c>
      <c r="D6" s="76"/>
    </row>
    <row r="7" spans="1:6" x14ac:dyDescent="0.25">
      <c r="C7" s="80" t="s">
        <v>26</v>
      </c>
      <c r="D7" s="76"/>
    </row>
    <row r="8" spans="1:6" ht="13.8" thickBot="1" x14ac:dyDescent="0.3">
      <c r="C8" s="81" t="s">
        <v>27</v>
      </c>
      <c r="D8" s="77"/>
    </row>
    <row r="9" spans="1:6" ht="16.8" thickTop="1" thickBot="1" x14ac:dyDescent="0.35">
      <c r="C9" s="82" t="s">
        <v>28</v>
      </c>
      <c r="D9" s="83">
        <f>SUM(D5:D8)</f>
        <v>0</v>
      </c>
    </row>
    <row r="10" spans="1:6" ht="13.8" thickTop="1" x14ac:dyDescent="0.25"/>
  </sheetData>
  <sheetProtection sheet="1" objects="1" scenarios="1" selectLockedCells="1"/>
  <customSheetViews>
    <customSheetView guid="{E9A9889A-61F5-47D0-A5C6-BF43493EDD61}" showGridLines="0" showRowCol="0">
      <selection activeCell="D6" sqref="D6"/>
    </customSheetView>
    <customSheetView guid="{505FDB09-1B2F-4C19-8222-6158EDD21A0E}" showGridLines="0" showRowCol="0">
      <selection activeCell="D6" sqref="D6"/>
    </customSheetView>
    <customSheetView guid="{7982FB7F-E997-4C70-8B2B-B628B46385D2}" showGridLines="0" showRowCol="0">
      <selection activeCell="D6" sqref="D6"/>
    </customSheetView>
    <customSheetView guid="{9679493F-7CDF-46D6-BE72-B12FE11A478F}" showGridLines="0" showRowCol="0">
      <selection activeCell="D6" sqref="D6"/>
    </customSheetView>
  </customSheetViews>
  <phoneticPr fontId="5" type="noConversion"/>
  <pageMargins left="0.75" right="0.75" top="1" bottom="1" header="0.5" footer="0.5"/>
  <pageSetup orientation="portrait" horizontalDpi="4294967293" verticalDpi="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ummary">
    <pageSetUpPr autoPageBreaks="0"/>
  </sheetPr>
  <dimension ref="A1:AS158"/>
  <sheetViews>
    <sheetView showGridLines="0" showRowColHeaders="0" topLeftCell="A10" zoomScale="130" zoomScaleNormal="130" workbookViewId="0">
      <selection activeCell="F47" sqref="F47"/>
    </sheetView>
  </sheetViews>
  <sheetFormatPr defaultRowHeight="13.2" x14ac:dyDescent="0.25"/>
  <cols>
    <col min="1" max="1" width="8.88671875" style="36" customWidth="1"/>
    <col min="2" max="2" width="6.88671875" style="36" customWidth="1"/>
    <col min="3" max="3" width="5.88671875" customWidth="1"/>
    <col min="7" max="7" width="9.5546875" customWidth="1"/>
    <col min="10" max="10" width="10" customWidth="1"/>
    <col min="13" max="13" width="3.6640625" customWidth="1"/>
    <col min="14" max="45" width="8.88671875" style="36" customWidth="1"/>
  </cols>
  <sheetData>
    <row r="1" spans="3:13" x14ac:dyDescent="0.25"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</row>
    <row r="2" spans="3:13" x14ac:dyDescent="0.25"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</row>
    <row r="3" spans="3:13" x14ac:dyDescent="0.25"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</row>
    <row r="4" spans="3:13" x14ac:dyDescent="0.25"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</row>
    <row r="5" spans="3:13" ht="15.6" x14ac:dyDescent="0.25">
      <c r="E5" s="90"/>
      <c r="F5" s="90"/>
      <c r="H5" s="89" t="str">
        <f xml:space="preserve"> Location &amp; " - Quarantine Inspection Station"</f>
        <v>OODLA WIRRA - Quarantine Inspection Station</v>
      </c>
      <c r="I5" s="90"/>
      <c r="J5" s="90"/>
    </row>
    <row r="6" spans="3:13" ht="5.25" customHeight="1" x14ac:dyDescent="0.25">
      <c r="E6" s="88"/>
      <c r="F6" s="88"/>
      <c r="H6" s="89"/>
      <c r="I6" s="88"/>
      <c r="J6" s="88"/>
    </row>
    <row r="7" spans="3:13" ht="15.6" x14ac:dyDescent="0.25">
      <c r="E7" s="88"/>
      <c r="F7" s="88"/>
      <c r="H7" s="89" t="str">
        <f xml:space="preserve"> Month &amp; ", " &amp; Year &amp; " - Monthly Report"</f>
        <v>November, 2017 - Monthly Report</v>
      </c>
      <c r="I7" s="88"/>
      <c r="J7" s="88"/>
    </row>
    <row r="8" spans="3:13" ht="7.5" customHeight="1" thickBot="1" x14ac:dyDescent="0.35">
      <c r="C8" s="86"/>
      <c r="D8" s="86"/>
      <c r="E8" s="87"/>
      <c r="F8" s="86"/>
      <c r="G8" s="86"/>
      <c r="H8" s="86"/>
      <c r="I8" s="86"/>
      <c r="J8" s="86"/>
      <c r="K8" s="86"/>
      <c r="L8" s="86"/>
      <c r="M8" s="86"/>
    </row>
    <row r="9" spans="3:13" ht="8.25" customHeight="1" thickTop="1" x14ac:dyDescent="0.25">
      <c r="E9" s="38"/>
    </row>
    <row r="10" spans="3:13" ht="15.6" x14ac:dyDescent="0.3">
      <c r="E10" s="91" t="s">
        <v>42</v>
      </c>
    </row>
    <row r="11" spans="3:13" ht="6" customHeight="1" thickBot="1" x14ac:dyDescent="0.3">
      <c r="E11" s="38"/>
    </row>
    <row r="12" spans="3:13" ht="15.6" thickBot="1" x14ac:dyDescent="0.3">
      <c r="G12" s="84" t="s">
        <v>95</v>
      </c>
      <c r="H12" s="264">
        <f>TotalCars + TotalCommVehicles +TotalCaravans</f>
        <v>0</v>
      </c>
      <c r="K12" s="84" t="s">
        <v>29</v>
      </c>
      <c r="L12" s="264">
        <f>TotalVehicles + PrevTotalVehicles</f>
        <v>0</v>
      </c>
    </row>
    <row r="13" spans="3:13" ht="15.6" thickBot="1" x14ac:dyDescent="0.3">
      <c r="G13" s="84"/>
      <c r="H13" s="304"/>
      <c r="K13" s="84"/>
      <c r="L13" s="304"/>
    </row>
    <row r="14" spans="3:13" ht="15.6" thickBot="1" x14ac:dyDescent="0.3">
      <c r="G14" s="84" t="s">
        <v>94</v>
      </c>
      <c r="H14" s="264">
        <f>TotalCars</f>
        <v>0</v>
      </c>
      <c r="K14" s="84" t="s">
        <v>29</v>
      </c>
      <c r="L14" s="264">
        <f>TotalCars+PrevTotalCars</f>
        <v>0</v>
      </c>
    </row>
    <row r="15" spans="3:13" ht="15.6" thickBot="1" x14ac:dyDescent="0.3">
      <c r="G15" s="84"/>
      <c r="H15" s="304"/>
      <c r="K15" s="84"/>
      <c r="L15" s="304"/>
    </row>
    <row r="16" spans="3:13" ht="15.6" thickBot="1" x14ac:dyDescent="0.3">
      <c r="G16" s="84" t="s">
        <v>109</v>
      </c>
      <c r="H16" s="264">
        <f>TotalCaravans</f>
        <v>0</v>
      </c>
      <c r="K16" s="84" t="s">
        <v>29</v>
      </c>
      <c r="L16" s="264">
        <f>TotalCaravans+PrevTotalCaravans</f>
        <v>0</v>
      </c>
    </row>
    <row r="17" spans="3:13" ht="15.6" thickBot="1" x14ac:dyDescent="0.3">
      <c r="G17" s="84"/>
      <c r="H17" s="305"/>
      <c r="K17" s="85"/>
      <c r="L17" s="306"/>
    </row>
    <row r="18" spans="3:13" ht="15.6" thickBot="1" x14ac:dyDescent="0.3">
      <c r="G18" s="84" t="s">
        <v>30</v>
      </c>
      <c r="H18" s="264">
        <f xml:space="preserve"> TotalCommVehicles</f>
        <v>0</v>
      </c>
      <c r="K18" s="84" t="s">
        <v>29</v>
      </c>
      <c r="L18" s="264">
        <f>TotalCommVehicles+PrevTotalCommVehicles</f>
        <v>0</v>
      </c>
    </row>
    <row r="19" spans="3:13" ht="15.6" thickBot="1" x14ac:dyDescent="0.3">
      <c r="G19" s="84"/>
      <c r="H19" s="305"/>
      <c r="K19" s="85"/>
      <c r="L19" s="306"/>
    </row>
    <row r="20" spans="3:13" ht="15.6" thickBot="1" x14ac:dyDescent="0.3">
      <c r="G20" s="84" t="s">
        <v>31</v>
      </c>
      <c r="H20" s="264">
        <f xml:space="preserve"> TotalVehiclesWF</f>
        <v>2</v>
      </c>
      <c r="K20" s="84" t="s">
        <v>29</v>
      </c>
      <c r="L20" s="264">
        <f>TotalVehiclesWF+PrevTotalVehiclesWF</f>
        <v>2</v>
      </c>
    </row>
    <row r="21" spans="3:13" ht="15.6" thickBot="1" x14ac:dyDescent="0.3">
      <c r="G21" s="84"/>
      <c r="H21" s="305"/>
      <c r="K21" s="85"/>
      <c r="L21" s="306"/>
    </row>
    <row r="22" spans="3:13" ht="15.6" thickBot="1" x14ac:dyDescent="0.3">
      <c r="G22" s="84" t="s">
        <v>32</v>
      </c>
      <c r="H22" s="264">
        <f>TotalFruitConfiscated</f>
        <v>0</v>
      </c>
      <c r="K22" s="84" t="s">
        <v>29</v>
      </c>
      <c r="L22" s="264">
        <f>TotalFruitConfiscated+PrevTotalFruitConfiscated</f>
        <v>0</v>
      </c>
    </row>
    <row r="23" spans="3:13" ht="6.75" customHeight="1" x14ac:dyDescent="0.3">
      <c r="G23" s="84"/>
      <c r="H23" s="98"/>
      <c r="K23" s="84"/>
      <c r="L23" s="99"/>
    </row>
    <row r="24" spans="3:13" ht="4.5" customHeight="1" x14ac:dyDescent="0.25">
      <c r="C24" s="93"/>
      <c r="D24" s="93"/>
      <c r="E24" s="93"/>
      <c r="F24" s="93"/>
      <c r="G24" s="94"/>
      <c r="H24" s="93"/>
      <c r="I24" s="93"/>
      <c r="J24" s="93"/>
      <c r="K24" s="94"/>
      <c r="L24" s="94"/>
      <c r="M24" s="93"/>
    </row>
    <row r="25" spans="3:13" ht="6.75" customHeight="1" x14ac:dyDescent="0.25">
      <c r="G25" s="84"/>
      <c r="K25" s="84"/>
      <c r="L25" s="84"/>
    </row>
    <row r="26" spans="3:13" ht="15.6" x14ac:dyDescent="0.3">
      <c r="E26" s="91" t="s">
        <v>38</v>
      </c>
      <c r="I26" s="38"/>
    </row>
    <row r="27" spans="3:13" ht="9.75" customHeight="1" thickBot="1" x14ac:dyDescent="0.3">
      <c r="E27" s="38"/>
      <c r="K27" s="98"/>
    </row>
    <row r="28" spans="3:13" ht="15.6" thickBot="1" x14ac:dyDescent="0.3">
      <c r="E28" s="84" t="s">
        <v>40</v>
      </c>
      <c r="F28" s="92">
        <f>FFlyHostFruit</f>
        <v>0</v>
      </c>
      <c r="K28" s="84" t="s">
        <v>29</v>
      </c>
      <c r="L28" s="92">
        <f>PrevTotalHostFruit + FFlyHostFruit</f>
        <v>0</v>
      </c>
    </row>
    <row r="29" spans="3:13" ht="10.5" customHeight="1" thickBot="1" x14ac:dyDescent="0.3">
      <c r="E29" s="84"/>
    </row>
    <row r="30" spans="3:13" ht="15.6" thickBot="1" x14ac:dyDescent="0.3">
      <c r="E30" s="84" t="s">
        <v>39</v>
      </c>
      <c r="F30" s="92">
        <f>NonFFlyHostFruit</f>
        <v>0</v>
      </c>
      <c r="K30" s="84" t="s">
        <v>29</v>
      </c>
      <c r="L30" s="92">
        <f>NonFFlyHostFruit + PrevTotalNonHostFruit</f>
        <v>0</v>
      </c>
    </row>
    <row r="31" spans="3:13" ht="4.5" customHeight="1" x14ac:dyDescent="0.25">
      <c r="C31" s="93"/>
      <c r="D31" s="93"/>
      <c r="E31" s="93"/>
      <c r="F31" s="93"/>
      <c r="G31" s="94"/>
      <c r="H31" s="93"/>
      <c r="I31" s="93"/>
      <c r="J31" s="93"/>
      <c r="K31" s="93"/>
      <c r="L31" s="93"/>
      <c r="M31" s="93"/>
    </row>
    <row r="32" spans="3:13" ht="7.5" customHeight="1" x14ac:dyDescent="0.25">
      <c r="C32" s="96"/>
      <c r="D32" s="96"/>
      <c r="E32" s="96"/>
      <c r="F32" s="96"/>
      <c r="G32" s="96"/>
      <c r="H32" s="96"/>
      <c r="I32" s="96"/>
      <c r="J32" s="96"/>
      <c r="K32" s="96"/>
      <c r="L32" s="96"/>
      <c r="M32" s="96"/>
    </row>
    <row r="33" spans="3:13" ht="15.6" x14ac:dyDescent="0.3">
      <c r="E33" s="100" t="s">
        <v>41</v>
      </c>
    </row>
    <row r="34" spans="3:13" ht="15.6" thickBot="1" x14ac:dyDescent="0.3">
      <c r="E34" s="38"/>
    </row>
    <row r="35" spans="3:13" ht="15.6" thickBot="1" x14ac:dyDescent="0.3">
      <c r="E35" s="84" t="s">
        <v>33</v>
      </c>
      <c r="F35" s="264">
        <f>Sheep</f>
        <v>0</v>
      </c>
      <c r="K35" s="84" t="s">
        <v>29</v>
      </c>
      <c r="L35" s="308">
        <f>PrevSheep + Sheep</f>
        <v>0</v>
      </c>
    </row>
    <row r="36" spans="3:13" ht="8.4" customHeight="1" thickBot="1" x14ac:dyDescent="0.3">
      <c r="E36" s="84"/>
      <c r="F36" s="305"/>
      <c r="K36" s="85"/>
      <c r="L36" s="305"/>
    </row>
    <row r="37" spans="3:13" ht="15.6" thickBot="1" x14ac:dyDescent="0.3">
      <c r="E37" s="84" t="s">
        <v>34</v>
      </c>
      <c r="F37" s="264">
        <f>Cattle</f>
        <v>0</v>
      </c>
      <c r="K37" s="84" t="s">
        <v>29</v>
      </c>
      <c r="L37" s="308">
        <f>PrevCattle + Cattle</f>
        <v>0</v>
      </c>
    </row>
    <row r="38" spans="3:13" ht="8.4" customHeight="1" thickBot="1" x14ac:dyDescent="0.3">
      <c r="E38" s="84"/>
      <c r="F38" s="305"/>
      <c r="K38" s="85"/>
      <c r="L38" s="305"/>
    </row>
    <row r="39" spans="3:13" ht="15.6" thickBot="1" x14ac:dyDescent="0.3">
      <c r="E39" s="84" t="s">
        <v>35</v>
      </c>
      <c r="F39" s="264">
        <f xml:space="preserve"> Pigs</f>
        <v>0</v>
      </c>
      <c r="K39" s="84" t="s">
        <v>29</v>
      </c>
      <c r="L39" s="308">
        <f>PrevPigs + Pigs</f>
        <v>0</v>
      </c>
    </row>
    <row r="40" spans="3:13" ht="8.4" customHeight="1" thickBot="1" x14ac:dyDescent="0.3">
      <c r="E40" s="84"/>
      <c r="F40" s="305"/>
      <c r="K40" s="85"/>
      <c r="L40" s="305"/>
    </row>
    <row r="41" spans="3:13" ht="15.6" thickBot="1" x14ac:dyDescent="0.3">
      <c r="E41" s="84" t="s">
        <v>36</v>
      </c>
      <c r="F41" s="264">
        <f>Other</f>
        <v>0</v>
      </c>
      <c r="K41" s="84" t="s">
        <v>29</v>
      </c>
      <c r="L41" s="308">
        <f>PrevOther + Other</f>
        <v>0</v>
      </c>
    </row>
    <row r="42" spans="3:13" ht="4.5" customHeight="1" x14ac:dyDescent="0.25">
      <c r="E42" s="38"/>
    </row>
    <row r="43" spans="3:13" ht="5.25" customHeight="1" x14ac:dyDescent="0.25">
      <c r="C43" s="93"/>
      <c r="D43" s="93"/>
      <c r="E43" s="95"/>
      <c r="F43" s="93"/>
      <c r="G43" s="93"/>
      <c r="H43" s="93"/>
      <c r="I43" s="93"/>
      <c r="J43" s="93"/>
      <c r="K43" s="93"/>
      <c r="L43" s="93"/>
      <c r="M43" s="93"/>
    </row>
    <row r="44" spans="3:13" ht="6.75" customHeight="1" x14ac:dyDescent="0.25">
      <c r="C44" s="96"/>
      <c r="D44" s="96"/>
      <c r="E44" s="115"/>
      <c r="F44" s="96"/>
      <c r="G44" s="96"/>
      <c r="H44" s="96"/>
      <c r="I44" s="96"/>
      <c r="J44" s="96"/>
      <c r="K44" s="96"/>
      <c r="L44" s="96"/>
      <c r="M44" s="96"/>
    </row>
    <row r="45" spans="3:13" ht="15.6" x14ac:dyDescent="0.3">
      <c r="C45" s="96"/>
      <c r="D45" s="96"/>
      <c r="E45" s="250" t="s">
        <v>88</v>
      </c>
      <c r="F45" s="96"/>
      <c r="G45" s="96"/>
      <c r="H45" s="96"/>
      <c r="I45" s="96"/>
      <c r="J45" s="96"/>
      <c r="K45" s="96"/>
      <c r="L45" s="96"/>
      <c r="M45" s="96"/>
    </row>
    <row r="46" spans="3:13" ht="9.75" customHeight="1" thickBot="1" x14ac:dyDescent="0.3">
      <c r="C46" s="96"/>
      <c r="D46" s="96"/>
      <c r="E46" s="115"/>
      <c r="F46" s="96"/>
      <c r="G46" s="96"/>
      <c r="H46" s="96"/>
      <c r="I46" s="96"/>
      <c r="J46" s="96"/>
      <c r="K46" s="96"/>
      <c r="L46" s="96"/>
      <c r="M46" s="96"/>
    </row>
    <row r="47" spans="3:13" ht="15.6" thickBot="1" x14ac:dyDescent="0.3">
      <c r="C47" s="96"/>
      <c r="D47" s="96"/>
      <c r="E47" s="248" t="s">
        <v>89</v>
      </c>
      <c r="F47" s="307">
        <v>0</v>
      </c>
      <c r="G47" s="96"/>
      <c r="H47" s="96"/>
      <c r="I47" s="96"/>
      <c r="J47" s="96"/>
      <c r="K47" s="84" t="s">
        <v>29</v>
      </c>
      <c r="L47" s="308">
        <f>PrevFruitFly + FruitFly</f>
        <v>0</v>
      </c>
      <c r="M47" s="96"/>
    </row>
    <row r="48" spans="3:13" ht="7.5" customHeight="1" x14ac:dyDescent="0.25">
      <c r="C48" s="96"/>
      <c r="D48" s="96"/>
      <c r="E48" s="248"/>
      <c r="F48" s="96"/>
      <c r="G48" s="96"/>
      <c r="H48" s="96"/>
      <c r="I48" s="96"/>
      <c r="J48" s="96"/>
      <c r="K48" s="84"/>
      <c r="L48" s="96"/>
      <c r="M48" s="96"/>
    </row>
    <row r="49" spans="3:13" ht="9" customHeight="1" x14ac:dyDescent="0.25">
      <c r="C49" s="290"/>
      <c r="D49" s="290"/>
      <c r="E49" s="291"/>
      <c r="F49" s="290"/>
      <c r="G49" s="290"/>
      <c r="H49" s="290"/>
      <c r="I49" s="290"/>
      <c r="J49" s="290"/>
      <c r="K49" s="291"/>
      <c r="L49" s="290"/>
      <c r="M49" s="290"/>
    </row>
    <row r="50" spans="3:13" ht="14.25" customHeight="1" x14ac:dyDescent="0.3">
      <c r="C50" s="96"/>
      <c r="D50" s="96"/>
      <c r="E50" s="250" t="s">
        <v>103</v>
      </c>
      <c r="F50" s="96"/>
      <c r="G50" s="96"/>
      <c r="H50" s="96"/>
      <c r="I50" s="96"/>
      <c r="J50" s="96"/>
      <c r="K50" s="248"/>
      <c r="L50" s="96"/>
      <c r="M50" s="96"/>
    </row>
    <row r="51" spans="3:13" ht="9" customHeight="1" thickBot="1" x14ac:dyDescent="0.3">
      <c r="C51" s="96"/>
      <c r="D51" s="96"/>
      <c r="E51" s="248"/>
      <c r="F51" s="96"/>
      <c r="G51" s="96"/>
      <c r="H51" s="96"/>
      <c r="I51" s="96"/>
      <c r="J51" s="96"/>
      <c r="K51" s="248"/>
      <c r="L51" s="96"/>
      <c r="M51" s="96"/>
    </row>
    <row r="52" spans="3:13" ht="15" customHeight="1" thickBot="1" x14ac:dyDescent="0.3">
      <c r="D52" s="96"/>
      <c r="E52" s="248" t="s">
        <v>104</v>
      </c>
      <c r="F52" s="249">
        <f>MAX(ShiftStatsTotal)</f>
        <v>0</v>
      </c>
      <c r="G52" s="96"/>
      <c r="H52" s="292" t="s">
        <v>105</v>
      </c>
      <c r="I52" s="249">
        <f>MAX(ShiftStats)</f>
        <v>0</v>
      </c>
      <c r="K52" s="248" t="s">
        <v>106</v>
      </c>
      <c r="L52" s="249">
        <f>COUNTIF(ShiftStats,"&gt;199")</f>
        <v>0</v>
      </c>
      <c r="M52" s="96"/>
    </row>
    <row r="53" spans="3:13" ht="9" customHeight="1" x14ac:dyDescent="0.25">
      <c r="C53" s="96"/>
      <c r="D53" s="96"/>
      <c r="E53" s="248"/>
      <c r="F53" s="96"/>
      <c r="G53" s="96"/>
      <c r="H53" s="96"/>
      <c r="I53" s="96"/>
      <c r="J53" s="96"/>
      <c r="K53" s="248"/>
      <c r="L53" s="96"/>
      <c r="M53" s="96"/>
    </row>
    <row r="54" spans="3:13" ht="3" customHeight="1" x14ac:dyDescent="0.25">
      <c r="C54" s="93"/>
      <c r="D54" s="93"/>
      <c r="E54" s="94"/>
      <c r="F54" s="93"/>
      <c r="G54" s="93"/>
      <c r="H54" s="93"/>
      <c r="I54" s="93"/>
      <c r="J54" s="93"/>
      <c r="K54" s="94"/>
      <c r="L54" s="93"/>
      <c r="M54" s="93"/>
    </row>
    <row r="55" spans="3:13" ht="15" x14ac:dyDescent="0.25">
      <c r="E55" s="38"/>
    </row>
    <row r="56" spans="3:13" ht="15.6" x14ac:dyDescent="0.3">
      <c r="E56" s="100" t="s">
        <v>43</v>
      </c>
    </row>
    <row r="57" spans="3:13" ht="13.8" thickBot="1" x14ac:dyDescent="0.3">
      <c r="D57" t="s">
        <v>37</v>
      </c>
    </row>
    <row r="58" spans="3:13" x14ac:dyDescent="0.25">
      <c r="D58" s="394"/>
      <c r="E58" s="395"/>
      <c r="F58" s="395"/>
      <c r="G58" s="395"/>
      <c r="H58" s="395"/>
      <c r="I58" s="395"/>
      <c r="J58" s="395"/>
      <c r="K58" s="395"/>
      <c r="L58" s="396"/>
    </row>
    <row r="59" spans="3:13" x14ac:dyDescent="0.25">
      <c r="D59" s="397"/>
      <c r="E59" s="398"/>
      <c r="F59" s="398"/>
      <c r="G59" s="398"/>
      <c r="H59" s="398"/>
      <c r="I59" s="398"/>
      <c r="J59" s="398"/>
      <c r="K59" s="398"/>
      <c r="L59" s="399"/>
    </row>
    <row r="60" spans="3:13" x14ac:dyDescent="0.25">
      <c r="D60" s="397"/>
      <c r="E60" s="398"/>
      <c r="F60" s="398"/>
      <c r="G60" s="398"/>
      <c r="H60" s="398"/>
      <c r="I60" s="398"/>
      <c r="J60" s="398"/>
      <c r="K60" s="398"/>
      <c r="L60" s="399"/>
    </row>
    <row r="61" spans="3:13" x14ac:dyDescent="0.25">
      <c r="D61" s="397"/>
      <c r="E61" s="398"/>
      <c r="F61" s="398"/>
      <c r="G61" s="398"/>
      <c r="H61" s="398"/>
      <c r="I61" s="398"/>
      <c r="J61" s="398"/>
      <c r="K61" s="398"/>
      <c r="L61" s="399"/>
    </row>
    <row r="62" spans="3:13" x14ac:dyDescent="0.25">
      <c r="D62" s="397"/>
      <c r="E62" s="398"/>
      <c r="F62" s="398"/>
      <c r="G62" s="398"/>
      <c r="H62" s="398"/>
      <c r="I62" s="398"/>
      <c r="J62" s="398"/>
      <c r="K62" s="398"/>
      <c r="L62" s="399"/>
    </row>
    <row r="63" spans="3:13" x14ac:dyDescent="0.25">
      <c r="D63" s="397"/>
      <c r="E63" s="398"/>
      <c r="F63" s="398"/>
      <c r="G63" s="398"/>
      <c r="H63" s="398"/>
      <c r="I63" s="398"/>
      <c r="J63" s="398"/>
      <c r="K63" s="398"/>
      <c r="L63" s="399"/>
    </row>
    <row r="64" spans="3:13" x14ac:dyDescent="0.25">
      <c r="D64" s="397"/>
      <c r="E64" s="398"/>
      <c r="F64" s="398"/>
      <c r="G64" s="398"/>
      <c r="H64" s="398"/>
      <c r="I64" s="398"/>
      <c r="J64" s="398"/>
      <c r="K64" s="398"/>
      <c r="L64" s="399"/>
    </row>
    <row r="65" spans="3:13" x14ac:dyDescent="0.25">
      <c r="D65" s="397"/>
      <c r="E65" s="398"/>
      <c r="F65" s="398"/>
      <c r="G65" s="398"/>
      <c r="H65" s="398"/>
      <c r="I65" s="398"/>
      <c r="J65" s="398"/>
      <c r="K65" s="398"/>
      <c r="L65" s="399"/>
    </row>
    <row r="66" spans="3:13" x14ac:dyDescent="0.25">
      <c r="D66" s="397"/>
      <c r="E66" s="398"/>
      <c r="F66" s="398"/>
      <c r="G66" s="398"/>
      <c r="H66" s="398"/>
      <c r="I66" s="398"/>
      <c r="J66" s="398"/>
      <c r="K66" s="398"/>
      <c r="L66" s="399"/>
    </row>
    <row r="67" spans="3:13" x14ac:dyDescent="0.25">
      <c r="D67" s="397"/>
      <c r="E67" s="398"/>
      <c r="F67" s="398"/>
      <c r="G67" s="398"/>
      <c r="H67" s="398"/>
      <c r="I67" s="398"/>
      <c r="J67" s="398"/>
      <c r="K67" s="398"/>
      <c r="L67" s="399"/>
    </row>
    <row r="68" spans="3:13" ht="13.8" thickBot="1" x14ac:dyDescent="0.3">
      <c r="D68" s="400"/>
      <c r="E68" s="401"/>
      <c r="F68" s="401"/>
      <c r="G68" s="401"/>
      <c r="H68" s="401"/>
      <c r="I68" s="401"/>
      <c r="J68" s="401"/>
      <c r="K68" s="401"/>
      <c r="L68" s="402"/>
    </row>
    <row r="69" spans="3:13" ht="13.8" x14ac:dyDescent="0.25">
      <c r="C69" s="97"/>
      <c r="D69" s="254"/>
      <c r="E69" s="254"/>
      <c r="F69" s="254"/>
      <c r="G69" s="254"/>
      <c r="H69" s="254"/>
      <c r="I69" s="254"/>
      <c r="J69" s="254"/>
      <c r="K69" s="254"/>
      <c r="L69" s="254"/>
      <c r="M69" s="97"/>
    </row>
    <row r="70" spans="3:13" ht="13.8" x14ac:dyDescent="0.25">
      <c r="C70" s="97"/>
      <c r="D70" s="254"/>
      <c r="E70" s="254"/>
      <c r="F70" s="254"/>
      <c r="G70" s="254"/>
      <c r="H70" s="254"/>
      <c r="I70" s="254"/>
      <c r="J70" s="254"/>
      <c r="K70" s="254"/>
      <c r="L70" s="254"/>
      <c r="M70" s="97"/>
    </row>
    <row r="71" spans="3:13" ht="13.8" x14ac:dyDescent="0.25">
      <c r="C71" s="97"/>
      <c r="D71" s="254"/>
      <c r="E71" s="254"/>
      <c r="F71" s="254"/>
      <c r="G71" s="254"/>
      <c r="H71" s="254"/>
      <c r="I71" s="254"/>
      <c r="J71" s="254"/>
      <c r="K71" s="254"/>
      <c r="L71" s="254"/>
      <c r="M71" s="97"/>
    </row>
    <row r="72" spans="3:13" x14ac:dyDescent="0.25">
      <c r="C72" s="97"/>
      <c r="D72" s="255"/>
      <c r="E72" s="255"/>
      <c r="F72" s="255"/>
      <c r="G72" s="255"/>
      <c r="H72" s="255"/>
      <c r="I72" s="255"/>
      <c r="J72" s="255"/>
      <c r="K72" s="255"/>
      <c r="L72" s="255"/>
      <c r="M72" s="97"/>
    </row>
    <row r="73" spans="3:13" x14ac:dyDescent="0.25">
      <c r="C73" s="36"/>
      <c r="D73" s="36"/>
      <c r="E73" s="36"/>
      <c r="F73" s="36"/>
      <c r="G73" s="36"/>
      <c r="H73" s="36"/>
      <c r="I73" s="36"/>
      <c r="J73" s="36"/>
      <c r="K73" s="36"/>
      <c r="L73" s="36"/>
      <c r="M73" s="36"/>
    </row>
    <row r="74" spans="3:13" x14ac:dyDescent="0.25">
      <c r="C74" s="36"/>
      <c r="D74" s="36"/>
      <c r="E74" s="36"/>
      <c r="F74" s="36"/>
      <c r="G74" s="36"/>
      <c r="H74" s="36"/>
      <c r="I74" s="36"/>
      <c r="J74" s="36"/>
      <c r="K74" s="36"/>
      <c r="L74" s="36"/>
      <c r="M74" s="36"/>
    </row>
    <row r="75" spans="3:13" x14ac:dyDescent="0.25">
      <c r="C75" s="36"/>
      <c r="D75" s="36"/>
      <c r="E75" s="36"/>
      <c r="F75" s="36"/>
      <c r="G75" s="36"/>
      <c r="H75" s="36"/>
      <c r="I75" s="36"/>
      <c r="J75" s="36"/>
      <c r="K75" s="36"/>
      <c r="L75" s="36"/>
      <c r="M75" s="36"/>
    </row>
    <row r="76" spans="3:13" x14ac:dyDescent="0.25">
      <c r="C76" s="36"/>
      <c r="D76" s="36"/>
      <c r="E76" s="36"/>
      <c r="F76" s="36"/>
      <c r="G76" s="36"/>
      <c r="H76" s="36"/>
      <c r="I76" s="36"/>
      <c r="J76" s="36"/>
      <c r="K76" s="36"/>
      <c r="L76" s="36"/>
      <c r="M76" s="36"/>
    </row>
    <row r="77" spans="3:13" x14ac:dyDescent="0.25">
      <c r="C77" s="36"/>
      <c r="D77" s="36"/>
      <c r="E77" s="36"/>
      <c r="F77" s="36"/>
      <c r="G77" s="36"/>
      <c r="H77" s="36"/>
      <c r="I77" s="36"/>
      <c r="J77" s="36"/>
      <c r="K77" s="36"/>
      <c r="L77" s="36"/>
      <c r="M77" s="36"/>
    </row>
    <row r="78" spans="3:13" s="36" customFormat="1" x14ac:dyDescent="0.25"/>
    <row r="79" spans="3:13" s="36" customFormat="1" x14ac:dyDescent="0.25"/>
    <row r="80" spans="3:13" s="36" customFormat="1" x14ac:dyDescent="0.25"/>
    <row r="81" s="36" customFormat="1" x14ac:dyDescent="0.25"/>
    <row r="82" s="36" customFormat="1" x14ac:dyDescent="0.25"/>
    <row r="83" s="36" customFormat="1" x14ac:dyDescent="0.25"/>
    <row r="84" s="36" customFormat="1" x14ac:dyDescent="0.25"/>
    <row r="85" s="36" customFormat="1" x14ac:dyDescent="0.25"/>
    <row r="86" s="36" customFormat="1" x14ac:dyDescent="0.25"/>
    <row r="87" s="36" customFormat="1" x14ac:dyDescent="0.25"/>
    <row r="88" s="36" customFormat="1" x14ac:dyDescent="0.25"/>
    <row r="89" s="36" customFormat="1" x14ac:dyDescent="0.25"/>
    <row r="90" s="36" customFormat="1" x14ac:dyDescent="0.25"/>
    <row r="91" s="36" customFormat="1" x14ac:dyDescent="0.25"/>
    <row r="92" s="36" customFormat="1" x14ac:dyDescent="0.25"/>
    <row r="93" s="36" customFormat="1" x14ac:dyDescent="0.25"/>
    <row r="94" s="36" customFormat="1" x14ac:dyDescent="0.25"/>
    <row r="95" s="36" customFormat="1" x14ac:dyDescent="0.25"/>
    <row r="96" s="36" customFormat="1" x14ac:dyDescent="0.25"/>
    <row r="97" s="36" customFormat="1" x14ac:dyDescent="0.25"/>
    <row r="98" s="36" customFormat="1" x14ac:dyDescent="0.25"/>
    <row r="99" s="36" customFormat="1" x14ac:dyDescent="0.25"/>
    <row r="100" s="36" customFormat="1" x14ac:dyDescent="0.25"/>
    <row r="101" s="36" customFormat="1" x14ac:dyDescent="0.25"/>
    <row r="102" s="36" customFormat="1" x14ac:dyDescent="0.25"/>
    <row r="103" s="36" customFormat="1" x14ac:dyDescent="0.25"/>
    <row r="104" s="36" customFormat="1" x14ac:dyDescent="0.25"/>
    <row r="105" s="36" customFormat="1" x14ac:dyDescent="0.25"/>
    <row r="106" s="36" customFormat="1" x14ac:dyDescent="0.25"/>
    <row r="107" s="36" customFormat="1" x14ac:dyDescent="0.25"/>
    <row r="108" s="36" customFormat="1" x14ac:dyDescent="0.25"/>
    <row r="109" s="36" customFormat="1" x14ac:dyDescent="0.25"/>
    <row r="110" s="36" customFormat="1" x14ac:dyDescent="0.25"/>
    <row r="111" s="36" customFormat="1" x14ac:dyDescent="0.25"/>
    <row r="112" s="36" customFormat="1" x14ac:dyDescent="0.25"/>
    <row r="113" s="36" customFormat="1" x14ac:dyDescent="0.25"/>
    <row r="114" s="36" customFormat="1" x14ac:dyDescent="0.25"/>
    <row r="115" s="36" customFormat="1" x14ac:dyDescent="0.25"/>
    <row r="116" s="36" customFormat="1" x14ac:dyDescent="0.25"/>
    <row r="117" s="36" customFormat="1" x14ac:dyDescent="0.25"/>
    <row r="118" s="36" customFormat="1" x14ac:dyDescent="0.25"/>
    <row r="119" s="36" customFormat="1" x14ac:dyDescent="0.25"/>
    <row r="120" s="36" customFormat="1" x14ac:dyDescent="0.25"/>
    <row r="121" s="36" customFormat="1" x14ac:dyDescent="0.25"/>
    <row r="122" s="36" customFormat="1" x14ac:dyDescent="0.25"/>
    <row r="123" s="36" customFormat="1" x14ac:dyDescent="0.25"/>
    <row r="124" s="36" customFormat="1" x14ac:dyDescent="0.25"/>
    <row r="125" s="36" customFormat="1" x14ac:dyDescent="0.25"/>
    <row r="126" s="36" customFormat="1" x14ac:dyDescent="0.25"/>
    <row r="127" s="36" customFormat="1" x14ac:dyDescent="0.25"/>
    <row r="128" s="36" customFormat="1" x14ac:dyDescent="0.25"/>
    <row r="129" s="36" customFormat="1" x14ac:dyDescent="0.25"/>
    <row r="130" s="36" customFormat="1" x14ac:dyDescent="0.25"/>
    <row r="131" s="36" customFormat="1" x14ac:dyDescent="0.25"/>
    <row r="132" s="36" customFormat="1" x14ac:dyDescent="0.25"/>
    <row r="133" s="36" customFormat="1" x14ac:dyDescent="0.25"/>
    <row r="134" s="36" customFormat="1" x14ac:dyDescent="0.25"/>
    <row r="135" s="36" customFormat="1" x14ac:dyDescent="0.25"/>
    <row r="136" s="36" customFormat="1" x14ac:dyDescent="0.25"/>
    <row r="137" s="36" customFormat="1" x14ac:dyDescent="0.25"/>
    <row r="138" s="36" customFormat="1" x14ac:dyDescent="0.25"/>
    <row r="139" s="36" customFormat="1" x14ac:dyDescent="0.25"/>
    <row r="140" s="36" customFormat="1" x14ac:dyDescent="0.25"/>
    <row r="141" s="36" customFormat="1" x14ac:dyDescent="0.25"/>
    <row r="142" s="36" customFormat="1" x14ac:dyDescent="0.25"/>
    <row r="143" s="36" customFormat="1" x14ac:dyDescent="0.25"/>
    <row r="144" s="36" customFormat="1" x14ac:dyDescent="0.25"/>
    <row r="145" s="36" customFormat="1" x14ac:dyDescent="0.25"/>
    <row r="146" s="36" customFormat="1" x14ac:dyDescent="0.25"/>
    <row r="147" s="36" customFormat="1" x14ac:dyDescent="0.25"/>
    <row r="148" s="36" customFormat="1" x14ac:dyDescent="0.25"/>
    <row r="149" s="36" customFormat="1" x14ac:dyDescent="0.25"/>
    <row r="150" s="36" customFormat="1" x14ac:dyDescent="0.25"/>
    <row r="151" s="36" customFormat="1" x14ac:dyDescent="0.25"/>
    <row r="152" s="36" customFormat="1" x14ac:dyDescent="0.25"/>
    <row r="153" s="36" customFormat="1" x14ac:dyDescent="0.25"/>
    <row r="154" s="36" customFormat="1" x14ac:dyDescent="0.25"/>
    <row r="155" s="36" customFormat="1" x14ac:dyDescent="0.25"/>
    <row r="156" s="36" customFormat="1" x14ac:dyDescent="0.25"/>
    <row r="157" s="36" customFormat="1" x14ac:dyDescent="0.25"/>
    <row r="158" s="36" customFormat="1" x14ac:dyDescent="0.25"/>
  </sheetData>
  <sheetProtection sheet="1" objects="1" scenarios="1" selectLockedCells="1"/>
  <customSheetViews>
    <customSheetView guid="{E9A9889A-61F5-47D0-A5C6-BF43493EDD61}" scale="130" showGridLines="0" showRowCol="0" topLeftCell="A10">
      <selection activeCell="F47" sqref="F47"/>
    </customSheetView>
    <customSheetView guid="{505FDB09-1B2F-4C19-8222-6158EDD21A0E}" scale="130" showGridLines="0" showRowCol="0" topLeftCell="A10">
      <selection activeCell="F47" sqref="F47"/>
    </customSheetView>
    <customSheetView guid="{7982FB7F-E997-4C70-8B2B-B628B46385D2}" scale="130" showGridLines="0" showRowCol="0" topLeftCell="A10">
      <selection activeCell="F47" sqref="F47"/>
    </customSheetView>
    <customSheetView guid="{9679493F-7CDF-46D6-BE72-B12FE11A478F}" scale="130" showGridLines="0" showRowCol="0" topLeftCell="A10">
      <selection activeCell="F47" sqref="F47"/>
    </customSheetView>
  </customSheetViews>
  <mergeCells count="1">
    <mergeCell ref="D58:L68"/>
  </mergeCells>
  <phoneticPr fontId="5" type="noConversion"/>
  <pageMargins left="0.55118110236220474" right="3.937007874015748E-2" top="0.59055118110236227" bottom="0" header="0.78740157480314965" footer="0.19685039370078741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DataInput"/>
  <dimension ref="A1:CH84"/>
  <sheetViews>
    <sheetView showGridLines="0" showRowColHeaders="0" zoomScale="189" zoomScaleNormal="100" workbookViewId="0">
      <selection activeCell="E26" sqref="E26"/>
    </sheetView>
  </sheetViews>
  <sheetFormatPr defaultRowHeight="13.2" x14ac:dyDescent="0.25"/>
  <cols>
    <col min="1" max="1" width="3.33203125" customWidth="1"/>
    <col min="2" max="2" width="2.88671875" customWidth="1"/>
    <col min="3" max="3" width="3.6640625" customWidth="1"/>
    <col min="4" max="4" width="10.33203125" customWidth="1"/>
    <col min="5" max="11" width="8.6640625" customWidth="1"/>
    <col min="12" max="12" width="3.44140625" customWidth="1"/>
  </cols>
  <sheetData>
    <row r="1" spans="1:86" s="215" customFormat="1" ht="6" customHeight="1" x14ac:dyDescent="0.25"/>
    <row r="2" spans="1:86" s="215" customFormat="1" ht="7.5" customHeight="1" x14ac:dyDescent="0.25"/>
    <row r="3" spans="1:86" s="215" customFormat="1" ht="6" customHeight="1" thickBot="1" x14ac:dyDescent="0.3"/>
    <row r="4" spans="1:86" s="215" customFormat="1" ht="14.4" thickTop="1" thickBot="1" x14ac:dyDescent="0.3">
      <c r="D4" s="222" t="s">
        <v>59</v>
      </c>
      <c r="E4" s="220">
        <v>3</v>
      </c>
      <c r="G4" s="216" t="b">
        <v>1</v>
      </c>
    </row>
    <row r="5" spans="1:86" s="215" customFormat="1" ht="21.6" customHeight="1" thickTop="1" thickBot="1" x14ac:dyDescent="0.3">
      <c r="G5" s="293" t="b">
        <v>1</v>
      </c>
    </row>
    <row r="6" spans="1:86" s="127" customFormat="1" ht="25.2" thickTop="1" thickBot="1" x14ac:dyDescent="0.3">
      <c r="A6" s="215"/>
      <c r="B6" s="215"/>
      <c r="C6" s="215"/>
      <c r="D6" s="128" t="s">
        <v>47</v>
      </c>
      <c r="E6" s="129" t="s">
        <v>1</v>
      </c>
      <c r="F6" s="129" t="s">
        <v>2</v>
      </c>
      <c r="G6" s="129" t="s">
        <v>3</v>
      </c>
      <c r="H6" s="129" t="s">
        <v>4</v>
      </c>
      <c r="I6" s="129" t="s">
        <v>5</v>
      </c>
      <c r="J6" s="129" t="s">
        <v>48</v>
      </c>
      <c r="K6" s="130" t="s">
        <v>7</v>
      </c>
      <c r="L6" s="215"/>
      <c r="M6" s="215"/>
      <c r="N6" s="215"/>
      <c r="O6" s="215"/>
      <c r="P6" s="215"/>
      <c r="Q6" s="215"/>
      <c r="R6" s="215"/>
      <c r="S6" s="215"/>
      <c r="T6" s="215"/>
      <c r="U6" s="215"/>
      <c r="V6" s="215"/>
      <c r="W6" s="215"/>
      <c r="X6" s="215"/>
      <c r="Y6" s="215"/>
      <c r="Z6" s="215"/>
      <c r="AA6" s="215"/>
      <c r="AB6" s="215"/>
      <c r="AC6" s="215"/>
      <c r="AD6" s="215"/>
      <c r="AE6" s="215"/>
      <c r="AF6" s="215"/>
      <c r="AG6" s="215"/>
      <c r="AH6" s="215"/>
      <c r="AI6" s="215"/>
      <c r="AJ6" s="215"/>
      <c r="AK6" s="215"/>
      <c r="AL6" s="215"/>
      <c r="AM6" s="215"/>
      <c r="AN6" s="215"/>
      <c r="AO6" s="215"/>
      <c r="AP6" s="215"/>
      <c r="AQ6" s="215"/>
      <c r="AR6" s="215"/>
      <c r="AS6" s="215"/>
      <c r="AT6" s="215"/>
      <c r="AU6" s="215"/>
      <c r="AV6" s="215"/>
      <c r="AW6" s="215"/>
      <c r="AX6" s="215"/>
      <c r="AY6" s="215"/>
      <c r="AZ6" s="215"/>
      <c r="BA6" s="215"/>
      <c r="BB6" s="215"/>
      <c r="BC6" s="215"/>
      <c r="BD6" s="215"/>
      <c r="BE6" s="215"/>
      <c r="BF6" s="215"/>
      <c r="BG6" s="215"/>
      <c r="BH6" s="215"/>
      <c r="BI6" s="215"/>
      <c r="BJ6" s="215"/>
      <c r="BK6" s="215"/>
      <c r="BL6" s="215"/>
      <c r="BM6" s="215"/>
      <c r="BN6" s="215"/>
      <c r="BO6" s="215"/>
      <c r="BP6" s="215"/>
      <c r="BQ6" s="215"/>
      <c r="BR6" s="215"/>
      <c r="BS6" s="215"/>
      <c r="BT6" s="215"/>
      <c r="BU6" s="215"/>
      <c r="BV6" s="215"/>
      <c r="BW6" s="215"/>
      <c r="BX6" s="215"/>
      <c r="BY6" s="215"/>
      <c r="BZ6" s="215"/>
      <c r="CA6" s="215"/>
      <c r="CB6" s="215"/>
      <c r="CC6" s="215"/>
      <c r="CD6" s="215"/>
      <c r="CE6" s="215"/>
      <c r="CF6" s="215"/>
      <c r="CG6" s="215"/>
      <c r="CH6" s="215"/>
    </row>
    <row r="7" spans="1:86" s="127" customFormat="1" ht="14.4" thickBot="1" x14ac:dyDescent="0.3">
      <c r="A7" s="215"/>
      <c r="B7" s="215"/>
      <c r="C7" s="215"/>
      <c r="D7" s="131" t="s">
        <v>49</v>
      </c>
      <c r="E7" s="141">
        <f t="shared" ref="E7:G7" si="0">E26+E44+E62</f>
        <v>0</v>
      </c>
      <c r="F7" s="141">
        <f t="shared" si="0"/>
        <v>0</v>
      </c>
      <c r="G7" s="141">
        <f t="shared" si="0"/>
        <v>0</v>
      </c>
      <c r="H7" s="141">
        <f t="shared" ref="H7:J7" si="1">H26+H44+H62</f>
        <v>0</v>
      </c>
      <c r="I7" s="141">
        <f t="shared" si="1"/>
        <v>0</v>
      </c>
      <c r="J7" s="142">
        <f t="shared" si="1"/>
        <v>0</v>
      </c>
      <c r="K7" s="135">
        <f>SUM(E7:J7)</f>
        <v>0</v>
      </c>
      <c r="L7" s="215"/>
      <c r="M7" s="215"/>
      <c r="N7" s="215"/>
      <c r="O7" s="215"/>
      <c r="P7" s="215"/>
      <c r="Q7" s="215"/>
      <c r="R7" s="215"/>
      <c r="S7" s="215"/>
      <c r="T7" s="215"/>
      <c r="U7" s="215"/>
      <c r="V7" s="215"/>
      <c r="W7" s="215"/>
      <c r="X7" s="215"/>
      <c r="Y7" s="215"/>
      <c r="Z7" s="215"/>
      <c r="AA7" s="215"/>
      <c r="AB7" s="215"/>
      <c r="AC7" s="215"/>
      <c r="AD7" s="215"/>
      <c r="AE7" s="215"/>
      <c r="AF7" s="215"/>
      <c r="AG7" s="215"/>
      <c r="AH7" s="215"/>
      <c r="AI7" s="215"/>
      <c r="AJ7" s="215"/>
      <c r="AK7" s="215"/>
      <c r="AL7" s="215"/>
      <c r="AM7" s="215"/>
      <c r="AN7" s="215"/>
      <c r="AO7" s="215"/>
      <c r="AP7" s="215"/>
      <c r="AQ7" s="215"/>
      <c r="AR7" s="215"/>
      <c r="AS7" s="215"/>
      <c r="AT7" s="215"/>
      <c r="AU7" s="215"/>
      <c r="AV7" s="215"/>
      <c r="AW7" s="215"/>
      <c r="AX7" s="215"/>
      <c r="AY7" s="215"/>
      <c r="AZ7" s="215"/>
      <c r="BA7" s="215"/>
      <c r="BB7" s="215"/>
      <c r="BC7" s="215"/>
      <c r="BD7" s="215"/>
      <c r="BE7" s="215"/>
      <c r="BF7" s="215"/>
      <c r="BG7" s="215"/>
      <c r="BH7" s="215"/>
      <c r="BI7" s="215"/>
      <c r="BJ7" s="215"/>
      <c r="BK7" s="215"/>
      <c r="BL7" s="215"/>
      <c r="BM7" s="215"/>
      <c r="BN7" s="215"/>
      <c r="BO7" s="215"/>
      <c r="BP7" s="215"/>
      <c r="BQ7" s="215"/>
      <c r="BR7" s="215"/>
      <c r="BS7" s="215"/>
      <c r="BT7" s="215"/>
      <c r="BU7" s="215"/>
      <c r="BV7" s="215"/>
      <c r="BW7" s="215"/>
      <c r="BX7" s="215"/>
      <c r="BY7" s="215"/>
      <c r="BZ7" s="215"/>
      <c r="CA7" s="215"/>
      <c r="CB7" s="215"/>
      <c r="CC7" s="215"/>
      <c r="CD7" s="215"/>
      <c r="CE7" s="215"/>
      <c r="CF7" s="215"/>
      <c r="CG7" s="215"/>
      <c r="CH7" s="215"/>
    </row>
    <row r="8" spans="1:86" s="127" customFormat="1" ht="14.4" thickBot="1" x14ac:dyDescent="0.3">
      <c r="A8" s="215"/>
      <c r="B8" s="215"/>
      <c r="C8" s="215"/>
      <c r="D8" s="131" t="s">
        <v>50</v>
      </c>
      <c r="E8" s="141">
        <f t="shared" ref="E8:J8" si="2">E27+E45+E63</f>
        <v>0</v>
      </c>
      <c r="F8" s="141">
        <f t="shared" si="2"/>
        <v>0</v>
      </c>
      <c r="G8" s="141">
        <f t="shared" si="2"/>
        <v>0</v>
      </c>
      <c r="H8" s="141">
        <f t="shared" si="2"/>
        <v>0</v>
      </c>
      <c r="I8" s="141">
        <f t="shared" si="2"/>
        <v>0</v>
      </c>
      <c r="J8" s="142">
        <f t="shared" si="2"/>
        <v>0</v>
      </c>
      <c r="K8" s="135">
        <f t="shared" ref="K8:K17" si="3">SUM(E8:J8)</f>
        <v>0</v>
      </c>
      <c r="L8" s="215"/>
      <c r="M8" s="215"/>
      <c r="N8" s="215"/>
      <c r="O8" s="215"/>
      <c r="P8" s="215"/>
      <c r="Q8" s="215"/>
      <c r="R8" s="215"/>
      <c r="S8" s="215"/>
      <c r="T8" s="215"/>
      <c r="U8" s="215"/>
      <c r="V8" s="215"/>
      <c r="W8" s="215"/>
      <c r="X8" s="215"/>
      <c r="Y8" s="215"/>
      <c r="Z8" s="215"/>
      <c r="AA8" s="215"/>
      <c r="AB8" s="215"/>
      <c r="AC8" s="215"/>
      <c r="AD8" s="215"/>
      <c r="AE8" s="215"/>
      <c r="AF8" s="215"/>
      <c r="AG8" s="215"/>
      <c r="AH8" s="215"/>
      <c r="AI8" s="215"/>
      <c r="AJ8" s="215"/>
      <c r="AK8" s="215"/>
      <c r="AL8" s="215"/>
      <c r="AM8" s="215"/>
      <c r="AN8" s="215"/>
      <c r="AO8" s="215"/>
      <c r="AP8" s="215"/>
      <c r="AQ8" s="215"/>
      <c r="AR8" s="215"/>
      <c r="AS8" s="215"/>
      <c r="AT8" s="215"/>
      <c r="AU8" s="215"/>
      <c r="AV8" s="215"/>
      <c r="AW8" s="215"/>
      <c r="AX8" s="215"/>
      <c r="AY8" s="215"/>
      <c r="AZ8" s="215"/>
      <c r="BA8" s="215"/>
      <c r="BB8" s="215"/>
      <c r="BC8" s="215"/>
      <c r="BD8" s="215"/>
      <c r="BE8" s="215"/>
      <c r="BF8" s="215"/>
      <c r="BG8" s="215"/>
      <c r="BH8" s="215"/>
      <c r="BI8" s="215"/>
      <c r="BJ8" s="215"/>
      <c r="BK8" s="215"/>
      <c r="BL8" s="215"/>
      <c r="BM8" s="215"/>
      <c r="BN8" s="215"/>
      <c r="BO8" s="215"/>
      <c r="BP8" s="215"/>
      <c r="BQ8" s="215"/>
      <c r="BR8" s="215"/>
      <c r="BS8" s="215"/>
      <c r="BT8" s="215"/>
      <c r="BU8" s="215"/>
      <c r="BV8" s="215"/>
      <c r="BW8" s="215"/>
      <c r="BX8" s="215"/>
      <c r="BY8" s="215"/>
      <c r="BZ8" s="215"/>
      <c r="CA8" s="215"/>
      <c r="CB8" s="215"/>
      <c r="CC8" s="215"/>
      <c r="CD8" s="215"/>
      <c r="CE8" s="215"/>
      <c r="CF8" s="215"/>
      <c r="CG8" s="215"/>
      <c r="CH8" s="215"/>
    </row>
    <row r="9" spans="1:86" s="127" customFormat="1" ht="14.4" thickBot="1" x14ac:dyDescent="0.3">
      <c r="A9" s="215"/>
      <c r="B9" s="215"/>
      <c r="C9" s="215"/>
      <c r="D9" s="131" t="s">
        <v>107</v>
      </c>
      <c r="E9" s="141">
        <f t="shared" ref="E9:I10" si="4">E28+E46+E64</f>
        <v>0</v>
      </c>
      <c r="F9" s="141">
        <f t="shared" si="4"/>
        <v>0</v>
      </c>
      <c r="G9" s="141">
        <f t="shared" si="4"/>
        <v>0</v>
      </c>
      <c r="H9" s="141">
        <f t="shared" si="4"/>
        <v>0</v>
      </c>
      <c r="I9" s="141">
        <f t="shared" si="4"/>
        <v>0</v>
      </c>
      <c r="J9" s="142">
        <f t="shared" ref="J9:J10" si="5">J28+J46+J64</f>
        <v>0</v>
      </c>
      <c r="K9" s="135">
        <f t="shared" si="3"/>
        <v>0</v>
      </c>
      <c r="L9" s="215"/>
      <c r="M9" s="215"/>
      <c r="N9" s="215"/>
      <c r="O9" s="215"/>
      <c r="P9" s="215"/>
      <c r="Q9" s="215"/>
      <c r="R9" s="215"/>
      <c r="S9" s="215"/>
      <c r="T9" s="215"/>
      <c r="U9" s="215"/>
      <c r="V9" s="215"/>
      <c r="W9" s="215"/>
      <c r="X9" s="215"/>
      <c r="Y9" s="215"/>
      <c r="Z9" s="215"/>
      <c r="AA9" s="215"/>
      <c r="AB9" s="215"/>
      <c r="AC9" s="215"/>
      <c r="AD9" s="215"/>
      <c r="AE9" s="215"/>
      <c r="AF9" s="215"/>
      <c r="AG9" s="215"/>
      <c r="AH9" s="215"/>
      <c r="AI9" s="215"/>
      <c r="AJ9" s="215"/>
      <c r="AK9" s="215"/>
      <c r="AL9" s="215"/>
      <c r="AM9" s="215"/>
      <c r="AN9" s="215"/>
      <c r="AO9" s="215"/>
      <c r="AP9" s="215"/>
      <c r="AQ9" s="215"/>
      <c r="AR9" s="215"/>
      <c r="AS9" s="215"/>
      <c r="AT9" s="215"/>
      <c r="AU9" s="215"/>
      <c r="AV9" s="215"/>
      <c r="AW9" s="215"/>
      <c r="AX9" s="215"/>
      <c r="AY9" s="215"/>
      <c r="AZ9" s="215"/>
      <c r="BA9" s="215"/>
      <c r="BB9" s="215"/>
      <c r="BC9" s="215"/>
      <c r="BD9" s="215"/>
      <c r="BE9" s="215"/>
      <c r="BF9" s="215"/>
      <c r="BG9" s="215"/>
      <c r="BH9" s="215"/>
      <c r="BI9" s="215"/>
      <c r="BJ9" s="215"/>
      <c r="BK9" s="215"/>
      <c r="BL9" s="215"/>
      <c r="BM9" s="215"/>
      <c r="BN9" s="215"/>
      <c r="BO9" s="215"/>
      <c r="BP9" s="215"/>
      <c r="BQ9" s="215"/>
      <c r="BR9" s="215"/>
      <c r="BS9" s="215"/>
      <c r="BT9" s="215"/>
      <c r="BU9" s="215"/>
      <c r="BV9" s="215"/>
      <c r="BW9" s="215"/>
      <c r="BX9" s="215"/>
      <c r="BY9" s="215"/>
      <c r="BZ9" s="215"/>
      <c r="CA9" s="215"/>
      <c r="CB9" s="215"/>
      <c r="CC9" s="215"/>
      <c r="CD9" s="215"/>
      <c r="CE9" s="215"/>
      <c r="CF9" s="215"/>
      <c r="CG9" s="215"/>
      <c r="CH9" s="215"/>
    </row>
    <row r="10" spans="1:86" s="127" customFormat="1" ht="14.4" thickBot="1" x14ac:dyDescent="0.3">
      <c r="A10" s="215"/>
      <c r="B10" s="215"/>
      <c r="C10" s="215"/>
      <c r="D10" s="131" t="s">
        <v>50</v>
      </c>
      <c r="E10" s="141">
        <f t="shared" si="4"/>
        <v>0</v>
      </c>
      <c r="F10" s="141">
        <f t="shared" si="4"/>
        <v>0</v>
      </c>
      <c r="G10" s="141">
        <f t="shared" si="4"/>
        <v>0</v>
      </c>
      <c r="H10" s="141">
        <f t="shared" si="4"/>
        <v>0</v>
      </c>
      <c r="I10" s="141">
        <f t="shared" si="4"/>
        <v>0</v>
      </c>
      <c r="J10" s="142">
        <f t="shared" si="5"/>
        <v>0</v>
      </c>
      <c r="K10" s="135">
        <f t="shared" si="3"/>
        <v>0</v>
      </c>
      <c r="L10" s="215"/>
      <c r="M10" s="215"/>
      <c r="N10" s="215"/>
      <c r="O10" s="215"/>
      <c r="P10" s="215"/>
      <c r="Q10" s="215"/>
      <c r="R10" s="215"/>
      <c r="S10" s="215"/>
      <c r="T10" s="215"/>
      <c r="U10" s="215"/>
      <c r="V10" s="215"/>
      <c r="W10" s="215"/>
      <c r="X10" s="215"/>
      <c r="Y10" s="215"/>
      <c r="Z10" s="215"/>
      <c r="AA10" s="215"/>
      <c r="AB10" s="215"/>
      <c r="AC10" s="215"/>
      <c r="AD10" s="215"/>
      <c r="AE10" s="215"/>
      <c r="AF10" s="215"/>
      <c r="AG10" s="215"/>
      <c r="AH10" s="215"/>
      <c r="AI10" s="215"/>
      <c r="AJ10" s="215"/>
      <c r="AK10" s="215"/>
      <c r="AL10" s="215"/>
      <c r="AM10" s="215"/>
      <c r="AN10" s="215"/>
      <c r="AO10" s="215"/>
      <c r="AP10" s="215"/>
      <c r="AQ10" s="215"/>
      <c r="AR10" s="215"/>
      <c r="AS10" s="215"/>
      <c r="AT10" s="215"/>
      <c r="AU10" s="215"/>
      <c r="AV10" s="215"/>
      <c r="AW10" s="215"/>
      <c r="AX10" s="215"/>
      <c r="AY10" s="215"/>
      <c r="AZ10" s="215"/>
      <c r="BA10" s="215"/>
      <c r="BB10" s="215"/>
      <c r="BC10" s="215"/>
      <c r="BD10" s="215"/>
      <c r="BE10" s="215"/>
      <c r="BF10" s="215"/>
      <c r="BG10" s="215"/>
      <c r="BH10" s="215"/>
      <c r="BI10" s="215"/>
      <c r="BJ10" s="215"/>
      <c r="BK10" s="215"/>
      <c r="BL10" s="215"/>
      <c r="BM10" s="215"/>
      <c r="BN10" s="215"/>
      <c r="BO10" s="215"/>
      <c r="BP10" s="215"/>
      <c r="BQ10" s="215"/>
      <c r="BR10" s="215"/>
      <c r="BS10" s="215"/>
      <c r="BT10" s="215"/>
      <c r="BU10" s="215"/>
      <c r="BV10" s="215"/>
      <c r="BW10" s="215"/>
      <c r="BX10" s="215"/>
      <c r="BY10" s="215"/>
      <c r="BZ10" s="215"/>
      <c r="CA10" s="215"/>
      <c r="CB10" s="215"/>
      <c r="CC10" s="215"/>
      <c r="CD10" s="215"/>
      <c r="CE10" s="215"/>
      <c r="CF10" s="215"/>
      <c r="CG10" s="215"/>
      <c r="CH10" s="215"/>
    </row>
    <row r="11" spans="1:86" s="127" customFormat="1" ht="14.4" thickBot="1" x14ac:dyDescent="0.3">
      <c r="A11" s="215"/>
      <c r="B11" s="215"/>
      <c r="C11" s="215"/>
      <c r="D11" s="131" t="s">
        <v>51</v>
      </c>
      <c r="E11" s="141">
        <f t="shared" ref="E11:J14" si="6">E30+E48+E66</f>
        <v>0</v>
      </c>
      <c r="F11" s="141">
        <f t="shared" si="6"/>
        <v>0</v>
      </c>
      <c r="G11" s="141">
        <f t="shared" si="6"/>
        <v>0</v>
      </c>
      <c r="H11" s="141">
        <f t="shared" si="6"/>
        <v>0</v>
      </c>
      <c r="I11" s="141">
        <f t="shared" si="6"/>
        <v>0</v>
      </c>
      <c r="J11" s="142">
        <f t="shared" si="6"/>
        <v>0</v>
      </c>
      <c r="K11" s="135">
        <f t="shared" si="3"/>
        <v>0</v>
      </c>
      <c r="L11" s="215"/>
      <c r="M11" s="215"/>
      <c r="N11" s="215"/>
      <c r="O11" s="215"/>
      <c r="P11" s="215"/>
      <c r="Q11" s="215"/>
      <c r="R11" s="215"/>
      <c r="S11" s="215"/>
      <c r="T11" s="215"/>
      <c r="U11" s="215"/>
      <c r="V11" s="215"/>
      <c r="W11" s="215"/>
      <c r="X11" s="215"/>
      <c r="Y11" s="215"/>
      <c r="Z11" s="215"/>
      <c r="AA11" s="215"/>
      <c r="AB11" s="215"/>
      <c r="AC11" s="215"/>
      <c r="AD11" s="215"/>
      <c r="AE11" s="215"/>
      <c r="AF11" s="215"/>
      <c r="AG11" s="215"/>
      <c r="AH11" s="215"/>
      <c r="AI11" s="215"/>
      <c r="AJ11" s="215"/>
      <c r="AK11" s="215"/>
      <c r="AL11" s="215"/>
      <c r="AM11" s="215"/>
      <c r="AN11" s="215"/>
      <c r="AO11" s="215"/>
      <c r="AP11" s="215"/>
      <c r="AQ11" s="215"/>
      <c r="AR11" s="215"/>
      <c r="AS11" s="215"/>
      <c r="AT11" s="215"/>
      <c r="AU11" s="215"/>
      <c r="AV11" s="215"/>
      <c r="AW11" s="215"/>
      <c r="AX11" s="215"/>
      <c r="AY11" s="215"/>
      <c r="AZ11" s="215"/>
      <c r="BA11" s="215"/>
      <c r="BB11" s="215"/>
      <c r="BC11" s="215"/>
      <c r="BD11" s="215"/>
      <c r="BE11" s="215"/>
      <c r="BF11" s="215"/>
      <c r="BG11" s="215"/>
      <c r="BH11" s="215"/>
      <c r="BI11" s="215"/>
      <c r="BJ11" s="215"/>
      <c r="BK11" s="215"/>
      <c r="BL11" s="215"/>
      <c r="BM11" s="215"/>
      <c r="BN11" s="215"/>
      <c r="BO11" s="215"/>
      <c r="BP11" s="215"/>
      <c r="BQ11" s="215"/>
      <c r="BR11" s="215"/>
      <c r="BS11" s="215"/>
      <c r="BT11" s="215"/>
      <c r="BU11" s="215"/>
      <c r="BV11" s="215"/>
      <c r="BW11" s="215"/>
      <c r="BX11" s="215"/>
      <c r="BY11" s="215"/>
      <c r="BZ11" s="215"/>
      <c r="CA11" s="215"/>
      <c r="CB11" s="215"/>
      <c r="CC11" s="215"/>
      <c r="CD11" s="215"/>
      <c r="CE11" s="215"/>
      <c r="CF11" s="215"/>
      <c r="CG11" s="215"/>
      <c r="CH11" s="215"/>
    </row>
    <row r="12" spans="1:86" s="127" customFormat="1" ht="14.4" thickBot="1" x14ac:dyDescent="0.3">
      <c r="A12" s="215"/>
      <c r="B12" s="215"/>
      <c r="C12" s="215"/>
      <c r="D12" s="131" t="s">
        <v>50</v>
      </c>
      <c r="E12" s="141">
        <f t="shared" si="6"/>
        <v>0</v>
      </c>
      <c r="F12" s="141">
        <f t="shared" si="6"/>
        <v>0</v>
      </c>
      <c r="G12" s="141">
        <f t="shared" si="6"/>
        <v>0</v>
      </c>
      <c r="H12" s="141">
        <f t="shared" si="6"/>
        <v>0</v>
      </c>
      <c r="I12" s="141">
        <f t="shared" si="6"/>
        <v>0</v>
      </c>
      <c r="J12" s="142">
        <f t="shared" si="6"/>
        <v>0</v>
      </c>
      <c r="K12" s="135">
        <f t="shared" si="3"/>
        <v>0</v>
      </c>
      <c r="L12" s="215"/>
      <c r="M12" s="215"/>
      <c r="N12" s="215"/>
      <c r="O12" s="215"/>
      <c r="P12" s="215"/>
      <c r="Q12" s="215"/>
      <c r="R12" s="215"/>
      <c r="S12" s="215"/>
      <c r="T12" s="215"/>
      <c r="U12" s="215"/>
      <c r="V12" s="215"/>
      <c r="W12" s="215"/>
      <c r="X12" s="215"/>
      <c r="Y12" s="215"/>
      <c r="Z12" s="215"/>
      <c r="AA12" s="215"/>
      <c r="AB12" s="215"/>
      <c r="AC12" s="215"/>
      <c r="AD12" s="215"/>
      <c r="AE12" s="215"/>
      <c r="AF12" s="215"/>
      <c r="AG12" s="215"/>
      <c r="AH12" s="215"/>
      <c r="AI12" s="215"/>
      <c r="AJ12" s="215"/>
      <c r="AK12" s="215"/>
      <c r="AL12" s="215"/>
      <c r="AM12" s="215"/>
      <c r="AN12" s="215"/>
      <c r="AO12" s="215"/>
      <c r="AP12" s="215"/>
      <c r="AQ12" s="215"/>
      <c r="AR12" s="215"/>
      <c r="AS12" s="215"/>
      <c r="AT12" s="215"/>
      <c r="AU12" s="215"/>
      <c r="AV12" s="215"/>
      <c r="AW12" s="215"/>
      <c r="AX12" s="215"/>
      <c r="AY12" s="215"/>
      <c r="AZ12" s="215"/>
      <c r="BA12" s="215"/>
      <c r="BB12" s="215"/>
      <c r="BC12" s="215"/>
      <c r="BD12" s="215"/>
      <c r="BE12" s="215"/>
      <c r="BF12" s="215"/>
      <c r="BG12" s="215"/>
      <c r="BH12" s="215"/>
      <c r="BI12" s="215"/>
      <c r="BJ12" s="215"/>
      <c r="BK12" s="215"/>
      <c r="BL12" s="215"/>
      <c r="BM12" s="215"/>
      <c r="BN12" s="215"/>
      <c r="BO12" s="215"/>
      <c r="BP12" s="215"/>
      <c r="BQ12" s="215"/>
      <c r="BR12" s="215"/>
      <c r="BS12" s="215"/>
      <c r="BT12" s="215"/>
      <c r="BU12" s="215"/>
      <c r="BV12" s="215"/>
      <c r="BW12" s="215"/>
      <c r="BX12" s="215"/>
      <c r="BY12" s="215"/>
      <c r="BZ12" s="215"/>
      <c r="CA12" s="215"/>
      <c r="CB12" s="215"/>
      <c r="CC12" s="215"/>
      <c r="CD12" s="215"/>
      <c r="CE12" s="215"/>
      <c r="CF12" s="215"/>
      <c r="CG12" s="215"/>
      <c r="CH12" s="215"/>
    </row>
    <row r="13" spans="1:86" s="127" customFormat="1" ht="14.4" thickBot="1" x14ac:dyDescent="0.3">
      <c r="A13" s="215"/>
      <c r="B13" s="215"/>
      <c r="C13" s="215"/>
      <c r="D13" s="131" t="s">
        <v>52</v>
      </c>
      <c r="E13" s="141">
        <f t="shared" si="6"/>
        <v>0</v>
      </c>
      <c r="F13" s="141">
        <f t="shared" si="6"/>
        <v>0</v>
      </c>
      <c r="G13" s="141">
        <f t="shared" si="6"/>
        <v>0</v>
      </c>
      <c r="H13" s="141">
        <f t="shared" si="6"/>
        <v>0</v>
      </c>
      <c r="I13" s="141">
        <f t="shared" si="6"/>
        <v>0</v>
      </c>
      <c r="J13" s="142">
        <f t="shared" si="6"/>
        <v>0</v>
      </c>
      <c r="K13" s="135">
        <f t="shared" si="3"/>
        <v>0</v>
      </c>
      <c r="L13" s="215"/>
      <c r="M13" s="215"/>
      <c r="N13" s="215"/>
      <c r="O13" s="215"/>
      <c r="P13" s="215"/>
      <c r="Q13" s="215"/>
      <c r="R13" s="215"/>
      <c r="S13" s="215"/>
      <c r="T13" s="215"/>
      <c r="U13" s="215"/>
      <c r="V13" s="215"/>
      <c r="W13" s="215"/>
      <c r="X13" s="215"/>
      <c r="Y13" s="215"/>
      <c r="Z13" s="215"/>
      <c r="AA13" s="215"/>
      <c r="AB13" s="215"/>
      <c r="AC13" s="215"/>
      <c r="AD13" s="215"/>
      <c r="AE13" s="215"/>
      <c r="AF13" s="215"/>
      <c r="AG13" s="215"/>
      <c r="AH13" s="215"/>
      <c r="AI13" s="215"/>
      <c r="AJ13" s="215"/>
      <c r="AK13" s="215"/>
      <c r="AL13" s="215"/>
      <c r="AM13" s="215"/>
      <c r="AN13" s="215"/>
      <c r="AO13" s="215"/>
      <c r="AP13" s="215"/>
      <c r="AQ13" s="215"/>
      <c r="AR13" s="215"/>
      <c r="AS13" s="215"/>
      <c r="AT13" s="215"/>
      <c r="AU13" s="215"/>
      <c r="AV13" s="215"/>
      <c r="AW13" s="215"/>
      <c r="AX13" s="215"/>
      <c r="AY13" s="215"/>
      <c r="AZ13" s="215"/>
      <c r="BA13" s="215"/>
      <c r="BB13" s="215"/>
      <c r="BC13" s="215"/>
      <c r="BD13" s="215"/>
      <c r="BE13" s="215"/>
      <c r="BF13" s="215"/>
      <c r="BG13" s="215"/>
      <c r="BH13" s="215"/>
      <c r="BI13" s="215"/>
      <c r="BJ13" s="215"/>
      <c r="BK13" s="215"/>
      <c r="BL13" s="215"/>
      <c r="BM13" s="215"/>
      <c r="BN13" s="215"/>
      <c r="BO13" s="215"/>
      <c r="BP13" s="215"/>
      <c r="BQ13" s="215"/>
      <c r="BR13" s="215"/>
      <c r="BS13" s="215"/>
      <c r="BT13" s="215"/>
      <c r="BU13" s="215"/>
      <c r="BV13" s="215"/>
      <c r="BW13" s="215"/>
      <c r="BX13" s="215"/>
      <c r="BY13" s="215"/>
      <c r="BZ13" s="215"/>
      <c r="CA13" s="215"/>
      <c r="CB13" s="215"/>
      <c r="CC13" s="215"/>
      <c r="CD13" s="215"/>
      <c r="CE13" s="215"/>
      <c r="CF13" s="215"/>
      <c r="CG13" s="215"/>
      <c r="CH13" s="215"/>
    </row>
    <row r="14" spans="1:86" s="127" customFormat="1" ht="14.4" thickBot="1" x14ac:dyDescent="0.3">
      <c r="A14" s="215"/>
      <c r="B14" s="215"/>
      <c r="C14" s="215"/>
      <c r="D14" s="131" t="s">
        <v>50</v>
      </c>
      <c r="E14" s="143">
        <f t="shared" si="6"/>
        <v>0</v>
      </c>
      <c r="F14" s="143">
        <f t="shared" si="6"/>
        <v>0</v>
      </c>
      <c r="G14" s="143">
        <f t="shared" si="6"/>
        <v>0</v>
      </c>
      <c r="H14" s="143">
        <f t="shared" si="6"/>
        <v>0</v>
      </c>
      <c r="I14" s="143">
        <f t="shared" si="6"/>
        <v>0</v>
      </c>
      <c r="J14" s="144">
        <f t="shared" si="6"/>
        <v>0</v>
      </c>
      <c r="K14" s="135">
        <f t="shared" si="3"/>
        <v>0</v>
      </c>
      <c r="L14" s="215"/>
      <c r="M14" s="215"/>
      <c r="N14" s="215"/>
      <c r="O14" s="215"/>
      <c r="P14" s="215"/>
      <c r="Q14" s="215"/>
      <c r="R14" s="215"/>
      <c r="S14" s="215"/>
      <c r="T14" s="215"/>
      <c r="U14" s="215"/>
      <c r="V14" s="215"/>
      <c r="W14" s="215"/>
      <c r="X14" s="215"/>
      <c r="Y14" s="215"/>
      <c r="Z14" s="215"/>
      <c r="AA14" s="215"/>
      <c r="AB14" s="215"/>
      <c r="AC14" s="215"/>
      <c r="AD14" s="215"/>
      <c r="AE14" s="215"/>
      <c r="AF14" s="215"/>
      <c r="AG14" s="215"/>
      <c r="AH14" s="215"/>
      <c r="AI14" s="215"/>
      <c r="AJ14" s="215"/>
      <c r="AK14" s="215"/>
      <c r="AL14" s="215"/>
      <c r="AM14" s="215"/>
      <c r="AN14" s="215"/>
      <c r="AO14" s="215"/>
      <c r="AP14" s="215"/>
      <c r="AQ14" s="215"/>
      <c r="AR14" s="215"/>
      <c r="AS14" s="215"/>
      <c r="AT14" s="215"/>
      <c r="AU14" s="215"/>
      <c r="AV14" s="215"/>
      <c r="AW14" s="215"/>
      <c r="AX14" s="215"/>
      <c r="AY14" s="215"/>
      <c r="AZ14" s="215"/>
      <c r="BA14" s="215"/>
      <c r="BB14" s="215"/>
      <c r="BC14" s="215"/>
      <c r="BD14" s="215"/>
      <c r="BE14" s="215"/>
      <c r="BF14" s="215"/>
      <c r="BG14" s="215"/>
      <c r="BH14" s="215"/>
      <c r="BI14" s="215"/>
      <c r="BJ14" s="215"/>
      <c r="BK14" s="215"/>
      <c r="BL14" s="215"/>
      <c r="BM14" s="215"/>
      <c r="BN14" s="215"/>
      <c r="BO14" s="215"/>
      <c r="BP14" s="215"/>
      <c r="BQ14" s="215"/>
      <c r="BR14" s="215"/>
      <c r="BS14" s="215"/>
      <c r="BT14" s="215"/>
      <c r="BU14" s="215"/>
      <c r="BV14" s="215"/>
      <c r="BW14" s="215"/>
      <c r="BX14" s="215"/>
      <c r="BY14" s="215"/>
      <c r="BZ14" s="215"/>
      <c r="CA14" s="215"/>
      <c r="CB14" s="215"/>
      <c r="CC14" s="215"/>
      <c r="CD14" s="215"/>
      <c r="CE14" s="215"/>
      <c r="CF14" s="215"/>
      <c r="CG14" s="215"/>
      <c r="CH14" s="215"/>
    </row>
    <row r="15" spans="1:86" s="127" customFormat="1" ht="24" x14ac:dyDescent="0.25">
      <c r="A15" s="215"/>
      <c r="B15" s="215"/>
      <c r="C15" s="215"/>
      <c r="D15" s="131" t="s">
        <v>53</v>
      </c>
      <c r="E15" s="134">
        <f>E7+E9+E11+E13</f>
        <v>0</v>
      </c>
      <c r="F15" s="134">
        <f t="shared" ref="F15:J15" si="7">F7+F9+F11+F13</f>
        <v>0</v>
      </c>
      <c r="G15" s="134">
        <f t="shared" si="7"/>
        <v>0</v>
      </c>
      <c r="H15" s="134">
        <f t="shared" si="7"/>
        <v>0</v>
      </c>
      <c r="I15" s="134">
        <f t="shared" si="7"/>
        <v>0</v>
      </c>
      <c r="J15" s="134">
        <f t="shared" si="7"/>
        <v>0</v>
      </c>
      <c r="K15" s="136">
        <f t="shared" si="3"/>
        <v>0</v>
      </c>
      <c r="L15" s="215"/>
      <c r="M15" s="215"/>
      <c r="N15" s="215"/>
      <c r="O15" s="215"/>
      <c r="P15" s="215"/>
      <c r="Q15" s="215"/>
      <c r="R15" s="215"/>
      <c r="S15" s="215"/>
      <c r="T15" s="215"/>
      <c r="U15" s="215"/>
      <c r="V15" s="215"/>
      <c r="W15" s="215"/>
      <c r="X15" s="215"/>
      <c r="Y15" s="215"/>
      <c r="Z15" s="215"/>
      <c r="AA15" s="215"/>
      <c r="AB15" s="215"/>
      <c r="AC15" s="215"/>
      <c r="AD15" s="215"/>
      <c r="AE15" s="215"/>
      <c r="AF15" s="215"/>
      <c r="AG15" s="215"/>
      <c r="AH15" s="215"/>
      <c r="AI15" s="215"/>
      <c r="AJ15" s="215"/>
      <c r="AK15" s="215"/>
      <c r="AL15" s="215"/>
      <c r="AM15" s="215"/>
      <c r="AN15" s="215"/>
      <c r="AO15" s="215"/>
      <c r="AP15" s="215"/>
      <c r="AQ15" s="215"/>
      <c r="AR15" s="215"/>
      <c r="AS15" s="215"/>
      <c r="AT15" s="215"/>
      <c r="AU15" s="215"/>
      <c r="AV15" s="215"/>
      <c r="AW15" s="215"/>
      <c r="AX15" s="215"/>
      <c r="AY15" s="215"/>
      <c r="AZ15" s="215"/>
      <c r="BA15" s="215"/>
      <c r="BB15" s="215"/>
      <c r="BC15" s="215"/>
      <c r="BD15" s="215"/>
      <c r="BE15" s="215"/>
      <c r="BF15" s="215"/>
      <c r="BG15" s="215"/>
      <c r="BH15" s="215"/>
      <c r="BI15" s="215"/>
      <c r="BJ15" s="215"/>
      <c r="BK15" s="215"/>
      <c r="BL15" s="215"/>
      <c r="BM15" s="215"/>
      <c r="BN15" s="215"/>
      <c r="BO15" s="215"/>
      <c r="BP15" s="215"/>
      <c r="BQ15" s="215"/>
      <c r="BR15" s="215"/>
      <c r="BS15" s="215"/>
      <c r="BT15" s="215"/>
      <c r="BU15" s="215"/>
      <c r="BV15" s="215"/>
      <c r="BW15" s="215"/>
      <c r="BX15" s="215"/>
      <c r="BY15" s="215"/>
      <c r="BZ15" s="215"/>
      <c r="CA15" s="215"/>
      <c r="CB15" s="215"/>
      <c r="CC15" s="215"/>
      <c r="CD15" s="215"/>
      <c r="CE15" s="215"/>
      <c r="CF15" s="215"/>
      <c r="CG15" s="215"/>
      <c r="CH15" s="215"/>
    </row>
    <row r="16" spans="1:86" s="127" customFormat="1" ht="24.6" thickBot="1" x14ac:dyDescent="0.3">
      <c r="A16" s="215"/>
      <c r="B16" s="215"/>
      <c r="C16" s="215"/>
      <c r="D16" s="132" t="s">
        <v>54</v>
      </c>
      <c r="E16" s="139">
        <f>E8+E10+E12+E14</f>
        <v>0</v>
      </c>
      <c r="F16" s="139">
        <f t="shared" ref="F16:J16" si="8">F8+F10+F12+F14</f>
        <v>0</v>
      </c>
      <c r="G16" s="139">
        <f t="shared" si="8"/>
        <v>0</v>
      </c>
      <c r="H16" s="139">
        <f t="shared" si="8"/>
        <v>0</v>
      </c>
      <c r="I16" s="139">
        <f t="shared" si="8"/>
        <v>0</v>
      </c>
      <c r="J16" s="139">
        <f t="shared" si="8"/>
        <v>0</v>
      </c>
      <c r="K16" s="135">
        <f t="shared" si="3"/>
        <v>0</v>
      </c>
      <c r="L16" s="215"/>
      <c r="M16" s="215"/>
      <c r="N16" s="215"/>
      <c r="O16" s="215"/>
      <c r="P16" s="215"/>
      <c r="Q16" s="215"/>
      <c r="R16" s="215"/>
      <c r="S16" s="215"/>
      <c r="T16" s="215"/>
      <c r="U16" s="215"/>
      <c r="V16" s="215"/>
      <c r="W16" s="215"/>
      <c r="X16" s="215"/>
      <c r="Y16" s="215"/>
      <c r="Z16" s="215"/>
      <c r="AA16" s="215"/>
      <c r="AB16" s="215"/>
      <c r="AC16" s="215"/>
      <c r="AD16" s="215"/>
      <c r="AE16" s="215"/>
      <c r="AF16" s="215"/>
      <c r="AG16" s="215"/>
      <c r="AH16" s="215"/>
      <c r="AI16" s="215"/>
      <c r="AJ16" s="215"/>
      <c r="AK16" s="215"/>
      <c r="AL16" s="215"/>
      <c r="AM16" s="215"/>
      <c r="AN16" s="215"/>
      <c r="AO16" s="215"/>
      <c r="AP16" s="215"/>
      <c r="AQ16" s="215"/>
      <c r="AR16" s="215"/>
      <c r="AS16" s="215"/>
      <c r="AT16" s="215"/>
      <c r="AU16" s="215"/>
      <c r="AV16" s="215"/>
      <c r="AW16" s="215"/>
      <c r="AX16" s="215"/>
      <c r="AY16" s="215"/>
      <c r="AZ16" s="215"/>
      <c r="BA16" s="215"/>
      <c r="BB16" s="215"/>
      <c r="BC16" s="215"/>
      <c r="BD16" s="215"/>
      <c r="BE16" s="215"/>
      <c r="BF16" s="215"/>
      <c r="BG16" s="215"/>
      <c r="BH16" s="215"/>
      <c r="BI16" s="215"/>
      <c r="BJ16" s="215"/>
      <c r="BK16" s="215"/>
      <c r="BL16" s="215"/>
      <c r="BM16" s="215"/>
      <c r="BN16" s="215"/>
      <c r="BO16" s="215"/>
      <c r="BP16" s="215"/>
      <c r="BQ16" s="215"/>
      <c r="BR16" s="215"/>
      <c r="BS16" s="215"/>
      <c r="BT16" s="215"/>
      <c r="BU16" s="215"/>
      <c r="BV16" s="215"/>
      <c r="BW16" s="215"/>
      <c r="BX16" s="215"/>
      <c r="BY16" s="215"/>
      <c r="BZ16" s="215"/>
      <c r="CA16" s="215"/>
      <c r="CB16" s="215"/>
      <c r="CC16" s="215"/>
      <c r="CD16" s="215"/>
      <c r="CE16" s="215"/>
      <c r="CF16" s="215"/>
      <c r="CG16" s="215"/>
      <c r="CH16" s="215"/>
    </row>
    <row r="17" spans="1:86" s="127" customFormat="1" ht="24.6" thickBot="1" x14ac:dyDescent="0.3">
      <c r="A17" s="215"/>
      <c r="B17" s="215"/>
      <c r="C17" s="215"/>
      <c r="D17" s="133" t="s">
        <v>55</v>
      </c>
      <c r="E17" s="140">
        <f t="shared" ref="E17:J17" si="9">E36+E54+E72</f>
        <v>0</v>
      </c>
      <c r="F17" s="140">
        <f t="shared" si="9"/>
        <v>0</v>
      </c>
      <c r="G17" s="140">
        <f t="shared" si="9"/>
        <v>0</v>
      </c>
      <c r="H17" s="140">
        <f t="shared" si="9"/>
        <v>0</v>
      </c>
      <c r="I17" s="140">
        <f t="shared" si="9"/>
        <v>0</v>
      </c>
      <c r="J17" s="140">
        <f t="shared" si="9"/>
        <v>0</v>
      </c>
      <c r="K17" s="138">
        <f t="shared" si="3"/>
        <v>0</v>
      </c>
      <c r="L17" s="215"/>
      <c r="M17" s="215"/>
      <c r="N17" s="215"/>
      <c r="O17" s="215"/>
      <c r="P17" s="215"/>
      <c r="Q17" s="215"/>
      <c r="R17" s="215"/>
      <c r="S17" s="215"/>
      <c r="T17" s="215"/>
      <c r="U17" s="215"/>
      <c r="V17" s="215"/>
      <c r="W17" s="215"/>
      <c r="X17" s="215"/>
      <c r="Y17" s="215"/>
      <c r="Z17" s="215"/>
      <c r="AA17" s="215"/>
      <c r="AB17" s="215"/>
      <c r="AC17" s="215"/>
      <c r="AD17" s="215"/>
      <c r="AE17" s="215"/>
      <c r="AF17" s="215"/>
      <c r="AG17" s="215"/>
      <c r="AH17" s="215"/>
      <c r="AI17" s="215"/>
      <c r="AJ17" s="215"/>
      <c r="AK17" s="215"/>
      <c r="AL17" s="215"/>
      <c r="AM17" s="215"/>
      <c r="AN17" s="215"/>
      <c r="AO17" s="215"/>
      <c r="AP17" s="215"/>
      <c r="AQ17" s="215"/>
      <c r="AR17" s="215"/>
      <c r="AS17" s="215"/>
      <c r="AT17" s="215"/>
      <c r="AU17" s="215"/>
      <c r="AV17" s="215"/>
      <c r="AW17" s="215"/>
      <c r="AX17" s="215"/>
      <c r="AY17" s="215"/>
      <c r="AZ17" s="215"/>
      <c r="BA17" s="215"/>
      <c r="BB17" s="215"/>
      <c r="BC17" s="215"/>
      <c r="BD17" s="215"/>
      <c r="BE17" s="215"/>
      <c r="BF17" s="215"/>
      <c r="BG17" s="215"/>
      <c r="BH17" s="215"/>
      <c r="BI17" s="215"/>
      <c r="BJ17" s="215"/>
      <c r="BK17" s="215"/>
      <c r="BL17" s="215"/>
      <c r="BM17" s="215"/>
      <c r="BN17" s="215"/>
      <c r="BO17" s="215"/>
      <c r="BP17" s="215"/>
      <c r="BQ17" s="215"/>
      <c r="BR17" s="215"/>
      <c r="BS17" s="215"/>
      <c r="BT17" s="215"/>
      <c r="BU17" s="215"/>
      <c r="BV17" s="215"/>
      <c r="BW17" s="215"/>
      <c r="BX17" s="215"/>
      <c r="BY17" s="215"/>
      <c r="BZ17" s="215"/>
      <c r="CA17" s="215"/>
      <c r="CB17" s="215"/>
      <c r="CC17" s="215"/>
      <c r="CD17" s="215"/>
      <c r="CE17" s="215"/>
      <c r="CF17" s="215"/>
      <c r="CG17" s="215"/>
      <c r="CH17" s="215"/>
    </row>
    <row r="18" spans="1:86" s="217" customFormat="1" ht="14.4" thickTop="1" thickBot="1" x14ac:dyDescent="0.3"/>
    <row r="19" spans="1:86" s="217" customFormat="1" ht="14.4" thickTop="1" thickBot="1" x14ac:dyDescent="0.3">
      <c r="E19" s="219" t="s">
        <v>61</v>
      </c>
      <c r="F19" s="221">
        <f>F38+F56+F74</f>
        <v>0</v>
      </c>
      <c r="I19" s="219" t="s">
        <v>60</v>
      </c>
      <c r="J19" s="221">
        <f>J38+J56+J74</f>
        <v>0</v>
      </c>
    </row>
    <row r="20" spans="1:86" s="217" customFormat="1" ht="13.8" thickTop="1" x14ac:dyDescent="0.25"/>
    <row r="21" spans="1:86" s="218" customFormat="1" ht="13.8" thickBot="1" x14ac:dyDescent="0.3"/>
    <row r="22" spans="1:86" ht="14.4" thickTop="1" thickBot="1" x14ac:dyDescent="0.3"/>
    <row r="23" spans="1:86" ht="25.5" customHeight="1" thickTop="1" x14ac:dyDescent="0.25">
      <c r="D23" s="407" t="s">
        <v>56</v>
      </c>
      <c r="H23" s="214" t="str">
        <f>TEXT(DATEVALUE(Day &amp; ", " &amp; Month &amp; ", " &amp; Year), "ddd, dd mmm, yyyy")</f>
        <v>Fri, 03 Nov, 2017</v>
      </c>
      <c r="I23" s="214"/>
      <c r="J23" s="214" t="str">
        <f>"Page " &amp; IF(chkNights = TRUE, (Day * 3) -2)</f>
        <v>Page 7</v>
      </c>
    </row>
    <row r="24" spans="1:86" ht="6" customHeight="1" thickBot="1" x14ac:dyDescent="0.3">
      <c r="D24" s="408"/>
    </row>
    <row r="25" spans="1:86" ht="25.2" thickTop="1" thickBot="1" x14ac:dyDescent="0.3">
      <c r="D25" s="128" t="s">
        <v>47</v>
      </c>
      <c r="E25" s="129" t="s">
        <v>1</v>
      </c>
      <c r="F25" s="129" t="s">
        <v>2</v>
      </c>
      <c r="G25" s="129" t="s">
        <v>3</v>
      </c>
      <c r="H25" s="129" t="s">
        <v>4</v>
      </c>
      <c r="I25" s="129" t="s">
        <v>5</v>
      </c>
      <c r="J25" s="129" t="s">
        <v>48</v>
      </c>
      <c r="K25" s="130" t="s">
        <v>7</v>
      </c>
    </row>
    <row r="26" spans="1:86" ht="13.8" x14ac:dyDescent="0.25">
      <c r="D26" s="131" t="s">
        <v>49</v>
      </c>
      <c r="E26" s="151"/>
      <c r="F26" s="152"/>
      <c r="G26" s="152"/>
      <c r="H26" s="152"/>
      <c r="I26" s="152"/>
      <c r="J26" s="153"/>
      <c r="K26" s="135">
        <f>SUM(E26:J26)</f>
        <v>0</v>
      </c>
    </row>
    <row r="27" spans="1:86" ht="13.8" x14ac:dyDescent="0.25">
      <c r="D27" s="131" t="s">
        <v>50</v>
      </c>
      <c r="E27" s="154"/>
      <c r="F27" s="155"/>
      <c r="G27" s="155"/>
      <c r="H27" s="155"/>
      <c r="I27" s="155"/>
      <c r="J27" s="156"/>
      <c r="K27" s="135">
        <f t="shared" ref="K27:K36" si="10">SUM(E27:J27)</f>
        <v>0</v>
      </c>
    </row>
    <row r="28" spans="1:86" ht="13.8" x14ac:dyDescent="0.25">
      <c r="D28" s="131" t="s">
        <v>107</v>
      </c>
      <c r="E28" s="294"/>
      <c r="F28" s="295"/>
      <c r="G28" s="295"/>
      <c r="H28" s="295"/>
      <c r="I28" s="295"/>
      <c r="J28" s="296"/>
      <c r="K28" s="135">
        <f t="shared" si="10"/>
        <v>0</v>
      </c>
    </row>
    <row r="29" spans="1:86" ht="13.8" x14ac:dyDescent="0.25">
      <c r="D29" s="131" t="s">
        <v>50</v>
      </c>
      <c r="E29" s="294"/>
      <c r="F29" s="295"/>
      <c r="G29" s="295"/>
      <c r="H29" s="295"/>
      <c r="I29" s="295"/>
      <c r="J29" s="296"/>
      <c r="K29" s="135">
        <f t="shared" si="10"/>
        <v>0</v>
      </c>
    </row>
    <row r="30" spans="1:86" ht="13.8" x14ac:dyDescent="0.25">
      <c r="D30" s="131" t="s">
        <v>51</v>
      </c>
      <c r="E30" s="154"/>
      <c r="F30" s="155"/>
      <c r="G30" s="155"/>
      <c r="H30" s="155"/>
      <c r="I30" s="155"/>
      <c r="J30" s="156"/>
      <c r="K30" s="135">
        <f t="shared" si="10"/>
        <v>0</v>
      </c>
    </row>
    <row r="31" spans="1:86" ht="13.8" x14ac:dyDescent="0.25">
      <c r="D31" s="131" t="s">
        <v>50</v>
      </c>
      <c r="E31" s="154"/>
      <c r="F31" s="155"/>
      <c r="G31" s="155"/>
      <c r="H31" s="155"/>
      <c r="I31" s="155"/>
      <c r="J31" s="156"/>
      <c r="K31" s="135">
        <f t="shared" si="10"/>
        <v>0</v>
      </c>
    </row>
    <row r="32" spans="1:86" ht="13.8" x14ac:dyDescent="0.25">
      <c r="D32" s="131" t="s">
        <v>52</v>
      </c>
      <c r="E32" s="154"/>
      <c r="F32" s="155"/>
      <c r="G32" s="155"/>
      <c r="H32" s="155"/>
      <c r="I32" s="155"/>
      <c r="J32" s="156"/>
      <c r="K32" s="135">
        <f t="shared" si="10"/>
        <v>0</v>
      </c>
    </row>
    <row r="33" spans="4:11" ht="14.4" thickBot="1" x14ac:dyDescent="0.3">
      <c r="D33" s="131" t="s">
        <v>50</v>
      </c>
      <c r="E33" s="157"/>
      <c r="F33" s="158"/>
      <c r="G33" s="158"/>
      <c r="H33" s="158"/>
      <c r="I33" s="158"/>
      <c r="J33" s="159"/>
      <c r="K33" s="135">
        <f t="shared" si="10"/>
        <v>0</v>
      </c>
    </row>
    <row r="34" spans="4:11" ht="24" x14ac:dyDescent="0.25">
      <c r="D34" s="131" t="s">
        <v>53</v>
      </c>
      <c r="E34" s="134">
        <f>E26+E28+E30+E32</f>
        <v>0</v>
      </c>
      <c r="F34" s="134">
        <f t="shared" ref="F34:J34" si="11">F26+F28+F30+F32</f>
        <v>0</v>
      </c>
      <c r="G34" s="134">
        <f t="shared" si="11"/>
        <v>0</v>
      </c>
      <c r="H34" s="134">
        <f t="shared" si="11"/>
        <v>0</v>
      </c>
      <c r="I34" s="134">
        <f t="shared" si="11"/>
        <v>0</v>
      </c>
      <c r="J34" s="134">
        <f t="shared" si="11"/>
        <v>0</v>
      </c>
      <c r="K34" s="136">
        <f t="shared" si="10"/>
        <v>0</v>
      </c>
    </row>
    <row r="35" spans="4:11" ht="24.6" thickBot="1" x14ac:dyDescent="0.3">
      <c r="D35" s="132" t="s">
        <v>54</v>
      </c>
      <c r="E35" s="139">
        <f>E27+E29+E31+E33</f>
        <v>0</v>
      </c>
      <c r="F35" s="139">
        <f t="shared" ref="F35:J35" si="12">F27+F29+F31+F33</f>
        <v>0</v>
      </c>
      <c r="G35" s="139">
        <f t="shared" si="12"/>
        <v>0</v>
      </c>
      <c r="H35" s="139">
        <f t="shared" si="12"/>
        <v>0</v>
      </c>
      <c r="I35" s="139">
        <f t="shared" si="12"/>
        <v>0</v>
      </c>
      <c r="J35" s="139">
        <f t="shared" si="12"/>
        <v>0</v>
      </c>
      <c r="K35" s="135">
        <f t="shared" si="10"/>
        <v>0</v>
      </c>
    </row>
    <row r="36" spans="4:11" ht="24.6" thickBot="1" x14ac:dyDescent="0.3">
      <c r="D36" s="133" t="s">
        <v>55</v>
      </c>
      <c r="E36" s="145"/>
      <c r="F36" s="146"/>
      <c r="G36" s="146"/>
      <c r="H36" s="146"/>
      <c r="I36" s="146"/>
      <c r="J36" s="147"/>
      <c r="K36" s="171">
        <f t="shared" si="10"/>
        <v>0</v>
      </c>
    </row>
    <row r="37" spans="4:11" s="179" customFormat="1" ht="9" customHeight="1" thickTop="1" thickBot="1" x14ac:dyDescent="0.3">
      <c r="D37" s="180"/>
      <c r="E37" s="181"/>
      <c r="F37" s="181"/>
      <c r="G37" s="181"/>
      <c r="H37" s="181"/>
      <c r="I37" s="181"/>
      <c r="J37" s="181"/>
      <c r="K37" s="182"/>
    </row>
    <row r="38" spans="4:11" s="97" customFormat="1" ht="15" thickTop="1" thickBot="1" x14ac:dyDescent="0.3">
      <c r="D38" s="169"/>
      <c r="E38" s="172" t="s">
        <v>61</v>
      </c>
      <c r="F38" s="197"/>
      <c r="G38" s="173"/>
      <c r="H38" s="173"/>
      <c r="I38" s="172" t="s">
        <v>60</v>
      </c>
      <c r="J38" s="197"/>
      <c r="K38" s="170"/>
    </row>
    <row r="39" spans="4:11" s="178" customFormat="1" ht="21.75" customHeight="1" thickTop="1" thickBot="1" x14ac:dyDescent="0.3">
      <c r="D39" s="175"/>
      <c r="E39" s="176"/>
      <c r="F39" s="176"/>
      <c r="G39" s="176"/>
      <c r="H39" s="176"/>
      <c r="I39" s="176"/>
      <c r="J39" s="176"/>
      <c r="K39" s="177"/>
    </row>
    <row r="40" spans="4:11" ht="14.25" customHeight="1" thickBot="1" x14ac:dyDescent="0.3"/>
    <row r="41" spans="4:11" ht="25.5" customHeight="1" thickTop="1" x14ac:dyDescent="0.25">
      <c r="D41" s="403" t="s">
        <v>57</v>
      </c>
      <c r="H41" s="212" t="str">
        <f>TEXT(DATEVALUE(Day &amp; ", " &amp; Month &amp; ", " &amp; Year), "ddd, dd mmm, yyyy")</f>
        <v>Fri, 03 Nov, 2017</v>
      </c>
      <c r="I41" s="212"/>
      <c r="J41" s="212" t="str">
        <f>"Page " &amp; IF(chkNights = TRUE, (Day * 3) - 1,IF(chkAfternoons = TRUE,(Day * 2) -1, Day))</f>
        <v>Page 8</v>
      </c>
    </row>
    <row r="42" spans="4:11" ht="6" customHeight="1" thickBot="1" x14ac:dyDescent="0.3">
      <c r="D42" s="404"/>
    </row>
    <row r="43" spans="4:11" ht="25.2" thickTop="1" thickBot="1" x14ac:dyDescent="0.3">
      <c r="D43" s="128" t="s">
        <v>47</v>
      </c>
      <c r="E43" s="129" t="s">
        <v>1</v>
      </c>
      <c r="F43" s="129" t="s">
        <v>2</v>
      </c>
      <c r="G43" s="129" t="s">
        <v>3</v>
      </c>
      <c r="H43" s="129" t="s">
        <v>4</v>
      </c>
      <c r="I43" s="129" t="s">
        <v>5</v>
      </c>
      <c r="J43" s="129" t="s">
        <v>48</v>
      </c>
      <c r="K43" s="130" t="s">
        <v>7</v>
      </c>
    </row>
    <row r="44" spans="4:11" ht="13.8" x14ac:dyDescent="0.25">
      <c r="D44" s="131" t="s">
        <v>49</v>
      </c>
      <c r="E44" s="160"/>
      <c r="F44" s="161"/>
      <c r="G44" s="161"/>
      <c r="H44" s="161"/>
      <c r="I44" s="161"/>
      <c r="J44" s="162"/>
      <c r="K44" s="135">
        <f>SUM(E44:J44)</f>
        <v>0</v>
      </c>
    </row>
    <row r="45" spans="4:11" ht="13.8" x14ac:dyDescent="0.25">
      <c r="D45" s="131" t="s">
        <v>50</v>
      </c>
      <c r="E45" s="163"/>
      <c r="F45" s="164"/>
      <c r="G45" s="164"/>
      <c r="H45" s="164"/>
      <c r="I45" s="164"/>
      <c r="J45" s="165"/>
      <c r="K45" s="135">
        <f t="shared" ref="K45:K54" si="13">SUM(E45:J45)</f>
        <v>0</v>
      </c>
    </row>
    <row r="46" spans="4:11" ht="13.8" x14ac:dyDescent="0.25">
      <c r="D46" s="131" t="s">
        <v>107</v>
      </c>
      <c r="E46" s="297"/>
      <c r="F46" s="298"/>
      <c r="G46" s="298"/>
      <c r="H46" s="298"/>
      <c r="I46" s="298"/>
      <c r="J46" s="299"/>
      <c r="K46" s="135">
        <f t="shared" si="13"/>
        <v>0</v>
      </c>
    </row>
    <row r="47" spans="4:11" ht="13.8" x14ac:dyDescent="0.25">
      <c r="D47" s="131" t="s">
        <v>50</v>
      </c>
      <c r="E47" s="297"/>
      <c r="F47" s="298"/>
      <c r="G47" s="298"/>
      <c r="H47" s="298"/>
      <c r="I47" s="298"/>
      <c r="J47" s="299"/>
      <c r="K47" s="135">
        <f t="shared" si="13"/>
        <v>0</v>
      </c>
    </row>
    <row r="48" spans="4:11" ht="13.8" x14ac:dyDescent="0.25">
      <c r="D48" s="131" t="s">
        <v>51</v>
      </c>
      <c r="E48" s="163"/>
      <c r="F48" s="164"/>
      <c r="G48" s="164"/>
      <c r="H48" s="164"/>
      <c r="I48" s="164"/>
      <c r="J48" s="165"/>
      <c r="K48" s="135">
        <f t="shared" si="13"/>
        <v>0</v>
      </c>
    </row>
    <row r="49" spans="4:11" ht="13.8" x14ac:dyDescent="0.25">
      <c r="D49" s="131" t="s">
        <v>50</v>
      </c>
      <c r="E49" s="163"/>
      <c r="F49" s="164"/>
      <c r="G49" s="164"/>
      <c r="H49" s="164"/>
      <c r="I49" s="164"/>
      <c r="J49" s="165"/>
      <c r="K49" s="135">
        <f t="shared" si="13"/>
        <v>0</v>
      </c>
    </row>
    <row r="50" spans="4:11" ht="13.8" x14ac:dyDescent="0.25">
      <c r="D50" s="131" t="s">
        <v>52</v>
      </c>
      <c r="E50" s="163"/>
      <c r="F50" s="164"/>
      <c r="G50" s="164"/>
      <c r="H50" s="164"/>
      <c r="I50" s="164"/>
      <c r="J50" s="165"/>
      <c r="K50" s="135">
        <f t="shared" si="13"/>
        <v>0</v>
      </c>
    </row>
    <row r="51" spans="4:11" ht="14.4" thickBot="1" x14ac:dyDescent="0.3">
      <c r="D51" s="131" t="s">
        <v>50</v>
      </c>
      <c r="E51" s="166"/>
      <c r="F51" s="167"/>
      <c r="G51" s="167"/>
      <c r="H51" s="167"/>
      <c r="I51" s="167"/>
      <c r="J51" s="168"/>
      <c r="K51" s="135">
        <f t="shared" si="13"/>
        <v>0</v>
      </c>
    </row>
    <row r="52" spans="4:11" ht="24" x14ac:dyDescent="0.25">
      <c r="D52" s="131" t="s">
        <v>53</v>
      </c>
      <c r="E52" s="134">
        <f>E44+E46+E48+E50</f>
        <v>0</v>
      </c>
      <c r="F52" s="134">
        <f t="shared" ref="F52:J52" si="14">F44+F46+F48+F50</f>
        <v>0</v>
      </c>
      <c r="G52" s="134">
        <f t="shared" si="14"/>
        <v>0</v>
      </c>
      <c r="H52" s="134">
        <f t="shared" si="14"/>
        <v>0</v>
      </c>
      <c r="I52" s="134">
        <f t="shared" si="14"/>
        <v>0</v>
      </c>
      <c r="J52" s="134">
        <f t="shared" si="14"/>
        <v>0</v>
      </c>
      <c r="K52" s="136">
        <f t="shared" si="13"/>
        <v>0</v>
      </c>
    </row>
    <row r="53" spans="4:11" ht="24.6" thickBot="1" x14ac:dyDescent="0.3">
      <c r="D53" s="132" t="s">
        <v>54</v>
      </c>
      <c r="E53" s="139">
        <f>E45+E47+E49+E51</f>
        <v>0</v>
      </c>
      <c r="F53" s="139">
        <f t="shared" ref="F53:J53" si="15">F45+F47+F49+F51</f>
        <v>0</v>
      </c>
      <c r="G53" s="139">
        <f t="shared" si="15"/>
        <v>0</v>
      </c>
      <c r="H53" s="139">
        <f t="shared" si="15"/>
        <v>0</v>
      </c>
      <c r="I53" s="139">
        <f t="shared" si="15"/>
        <v>0</v>
      </c>
      <c r="J53" s="139">
        <f t="shared" si="15"/>
        <v>0</v>
      </c>
      <c r="K53" s="135">
        <f t="shared" si="13"/>
        <v>0</v>
      </c>
    </row>
    <row r="54" spans="4:11" ht="24.6" thickBot="1" x14ac:dyDescent="0.3">
      <c r="D54" s="133" t="s">
        <v>55</v>
      </c>
      <c r="E54" s="148"/>
      <c r="F54" s="149"/>
      <c r="G54" s="149"/>
      <c r="H54" s="149"/>
      <c r="I54" s="149"/>
      <c r="J54" s="150"/>
      <c r="K54" s="171">
        <f t="shared" si="13"/>
        <v>0</v>
      </c>
    </row>
    <row r="55" spans="4:11" ht="6.75" customHeight="1" thickTop="1" thickBot="1" x14ac:dyDescent="0.3"/>
    <row r="56" spans="4:11" ht="15.75" customHeight="1" thickTop="1" thickBot="1" x14ac:dyDescent="0.3">
      <c r="E56" s="172" t="s">
        <v>61</v>
      </c>
      <c r="F56" s="183"/>
      <c r="G56" s="173"/>
      <c r="H56" s="173"/>
      <c r="I56" s="172" t="s">
        <v>60</v>
      </c>
      <c r="J56" s="183"/>
    </row>
    <row r="57" spans="4:11" s="174" customFormat="1" ht="19.5" customHeight="1" thickTop="1" thickBot="1" x14ac:dyDescent="0.3"/>
    <row r="58" spans="4:11" ht="19.5" customHeight="1" thickBot="1" x14ac:dyDescent="0.3"/>
    <row r="59" spans="4:11" ht="25.5" customHeight="1" thickTop="1" x14ac:dyDescent="0.25">
      <c r="D59" s="405" t="s">
        <v>58</v>
      </c>
      <c r="H59" s="213" t="str">
        <f>TEXT(DATEVALUE(Day &amp; ", " &amp; Month &amp; ", " &amp; Year), "ddd, dd mmm yyyy")</f>
        <v>Fri, 03 Nov 2017</v>
      </c>
      <c r="I59" s="213"/>
      <c r="J59" s="213" t="str">
        <f>"Page " &amp; IF(chkNights = TRUE, (Day * 3), Day * 2)</f>
        <v>Page 9</v>
      </c>
    </row>
    <row r="60" spans="4:11" ht="9" customHeight="1" thickBot="1" x14ac:dyDescent="0.3">
      <c r="D60" s="406"/>
    </row>
    <row r="61" spans="4:11" ht="25.2" thickTop="1" thickBot="1" x14ac:dyDescent="0.3">
      <c r="D61" s="128" t="s">
        <v>47</v>
      </c>
      <c r="E61" s="129" t="s">
        <v>1</v>
      </c>
      <c r="F61" s="129" t="s">
        <v>2</v>
      </c>
      <c r="G61" s="129" t="s">
        <v>3</v>
      </c>
      <c r="H61" s="129" t="s">
        <v>4</v>
      </c>
      <c r="I61" s="129" t="s">
        <v>5</v>
      </c>
      <c r="J61" s="129" t="s">
        <v>48</v>
      </c>
      <c r="K61" s="130" t="s">
        <v>7</v>
      </c>
    </row>
    <row r="62" spans="4:11" ht="13.8" x14ac:dyDescent="0.25">
      <c r="D62" s="131" t="s">
        <v>49</v>
      </c>
      <c r="E62" s="188"/>
      <c r="F62" s="189"/>
      <c r="G62" s="189"/>
      <c r="H62" s="189"/>
      <c r="I62" s="189"/>
      <c r="J62" s="190"/>
      <c r="K62" s="135">
        <f>SUM(E62:J62)</f>
        <v>0</v>
      </c>
    </row>
    <row r="63" spans="4:11" ht="13.8" x14ac:dyDescent="0.25">
      <c r="D63" s="131" t="s">
        <v>50</v>
      </c>
      <c r="E63" s="191"/>
      <c r="F63" s="192"/>
      <c r="G63" s="192"/>
      <c r="H63" s="192"/>
      <c r="I63" s="192"/>
      <c r="J63" s="193"/>
      <c r="K63" s="135">
        <f t="shared" ref="K63:K72" si="16">SUM(E63:J63)</f>
        <v>0</v>
      </c>
    </row>
    <row r="64" spans="4:11" ht="13.8" x14ac:dyDescent="0.25">
      <c r="D64" s="131" t="s">
        <v>107</v>
      </c>
      <c r="E64" s="300"/>
      <c r="F64" s="301"/>
      <c r="G64" s="301"/>
      <c r="H64" s="301"/>
      <c r="I64" s="301"/>
      <c r="J64" s="302"/>
      <c r="K64" s="135">
        <f t="shared" si="16"/>
        <v>0</v>
      </c>
    </row>
    <row r="65" spans="4:15" ht="13.8" x14ac:dyDescent="0.25">
      <c r="D65" s="131" t="s">
        <v>50</v>
      </c>
      <c r="E65" s="300"/>
      <c r="F65" s="301"/>
      <c r="G65" s="301"/>
      <c r="H65" s="301"/>
      <c r="I65" s="301"/>
      <c r="J65" s="302"/>
      <c r="K65" s="135">
        <f t="shared" si="16"/>
        <v>0</v>
      </c>
    </row>
    <row r="66" spans="4:15" ht="13.8" x14ac:dyDescent="0.25">
      <c r="D66" s="131" t="s">
        <v>51</v>
      </c>
      <c r="E66" s="191"/>
      <c r="F66" s="192"/>
      <c r="G66" s="192"/>
      <c r="H66" s="192"/>
      <c r="I66" s="192"/>
      <c r="J66" s="193"/>
      <c r="K66" s="135">
        <f t="shared" si="16"/>
        <v>0</v>
      </c>
    </row>
    <row r="67" spans="4:15" ht="13.8" x14ac:dyDescent="0.25">
      <c r="D67" s="131" t="s">
        <v>50</v>
      </c>
      <c r="E67" s="191"/>
      <c r="F67" s="192"/>
      <c r="G67" s="192"/>
      <c r="H67" s="192"/>
      <c r="I67" s="192"/>
      <c r="J67" s="193"/>
      <c r="K67" s="135">
        <f t="shared" si="16"/>
        <v>0</v>
      </c>
    </row>
    <row r="68" spans="4:15" ht="13.8" x14ac:dyDescent="0.25">
      <c r="D68" s="131" t="s">
        <v>52</v>
      </c>
      <c r="E68" s="191"/>
      <c r="F68" s="192"/>
      <c r="G68" s="192"/>
      <c r="H68" s="192"/>
      <c r="I68" s="192"/>
      <c r="J68" s="193"/>
      <c r="K68" s="135">
        <f t="shared" si="16"/>
        <v>0</v>
      </c>
    </row>
    <row r="69" spans="4:15" ht="14.4" thickBot="1" x14ac:dyDescent="0.3">
      <c r="D69" s="131" t="s">
        <v>50</v>
      </c>
      <c r="E69" s="194"/>
      <c r="F69" s="195"/>
      <c r="G69" s="195"/>
      <c r="H69" s="195"/>
      <c r="I69" s="195"/>
      <c r="J69" s="196"/>
      <c r="K69" s="135">
        <f t="shared" si="16"/>
        <v>0</v>
      </c>
    </row>
    <row r="70" spans="4:15" ht="24" x14ac:dyDescent="0.25">
      <c r="D70" s="131" t="s">
        <v>53</v>
      </c>
      <c r="E70" s="134">
        <f>E62+E64+E66+E68</f>
        <v>0</v>
      </c>
      <c r="F70" s="134">
        <f t="shared" ref="F70:J70" si="17">F62+F64+F66+F68</f>
        <v>0</v>
      </c>
      <c r="G70" s="134">
        <f t="shared" si="17"/>
        <v>0</v>
      </c>
      <c r="H70" s="134">
        <f t="shared" si="17"/>
        <v>0</v>
      </c>
      <c r="I70" s="134">
        <f t="shared" si="17"/>
        <v>0</v>
      </c>
      <c r="J70" s="134">
        <f t="shared" si="17"/>
        <v>0</v>
      </c>
      <c r="K70" s="136">
        <f t="shared" si="16"/>
        <v>0</v>
      </c>
    </row>
    <row r="71" spans="4:15" ht="24.6" thickBot="1" x14ac:dyDescent="0.3">
      <c r="D71" s="132" t="s">
        <v>54</v>
      </c>
      <c r="E71" s="139">
        <f>E63+E65+E67+E69</f>
        <v>0</v>
      </c>
      <c r="F71" s="139">
        <f t="shared" ref="F71:J71" si="18">F63+F65+F67+F69</f>
        <v>0</v>
      </c>
      <c r="G71" s="139">
        <f t="shared" si="18"/>
        <v>0</v>
      </c>
      <c r="H71" s="139">
        <f t="shared" si="18"/>
        <v>0</v>
      </c>
      <c r="I71" s="139">
        <f t="shared" si="18"/>
        <v>0</v>
      </c>
      <c r="J71" s="139">
        <f t="shared" si="18"/>
        <v>0</v>
      </c>
      <c r="K71" s="135">
        <f t="shared" si="16"/>
        <v>0</v>
      </c>
    </row>
    <row r="72" spans="4:15" ht="24.6" thickBot="1" x14ac:dyDescent="0.35">
      <c r="D72" s="133" t="s">
        <v>55</v>
      </c>
      <c r="E72" s="184"/>
      <c r="F72" s="185"/>
      <c r="G72" s="185"/>
      <c r="H72" s="185"/>
      <c r="I72" s="185"/>
      <c r="J72" s="186"/>
      <c r="K72" s="171">
        <f t="shared" si="16"/>
        <v>0</v>
      </c>
      <c r="O72" s="137"/>
    </row>
    <row r="73" spans="4:15" ht="6.75" customHeight="1" thickTop="1" thickBot="1" x14ac:dyDescent="0.3"/>
    <row r="74" spans="4:15" ht="16.5" customHeight="1" thickTop="1" thickBot="1" x14ac:dyDescent="0.3">
      <c r="E74" s="172" t="s">
        <v>61</v>
      </c>
      <c r="F74" s="187"/>
      <c r="G74" s="173"/>
      <c r="H74" s="173"/>
      <c r="I74" s="172" t="s">
        <v>60</v>
      </c>
      <c r="J74" s="187"/>
    </row>
    <row r="75" spans="4:15" s="174" customFormat="1" ht="14.4" thickTop="1" thickBot="1" x14ac:dyDescent="0.3"/>
    <row r="84" spans="6:6" x14ac:dyDescent="0.25">
      <c r="F84" s="199">
        <v>2</v>
      </c>
    </row>
  </sheetData>
  <sheetProtection sheet="1" objects="1" scenarios="1" selectLockedCells="1"/>
  <customSheetViews>
    <customSheetView guid="{E9A9889A-61F5-47D0-A5C6-BF43493EDD61}" scale="189" showGridLines="0" showRowCol="0" topLeftCell="A23">
      <selection activeCell="E26" sqref="E26"/>
    </customSheetView>
    <customSheetView guid="{505FDB09-1B2F-4C19-8222-6158EDD21A0E}" scale="189" showGridLines="0" showRowCol="0" topLeftCell="A41">
      <selection activeCell="E44" sqref="E44"/>
    </customSheetView>
    <customSheetView guid="{7982FB7F-E997-4C70-8B2B-B628B46385D2}" scale="212" showGridLines="0" showRowCol="0" topLeftCell="A59">
      <selection activeCell="E62" sqref="E62"/>
    </customSheetView>
    <customSheetView guid="{9679493F-7CDF-46D6-BE72-B12FE11A478F}" scale="170" showGridLines="0" showRowCol="0">
      <selection activeCell="E4" sqref="E4"/>
    </customSheetView>
  </customSheetViews>
  <mergeCells count="3">
    <mergeCell ref="D41:D42"/>
    <mergeCell ref="D59:D60"/>
    <mergeCell ref="D23:D24"/>
  </mergeCells>
  <dataValidations count="1">
    <dataValidation type="list" showInputMessage="1" showErrorMessage="1" sqref="E4">
      <formula1>ShortMonth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cmdInject">
          <controlPr defaultSize="0" autoLine="0" autoPict="0" r:id="rId5">
            <anchor moveWithCells="1">
              <from>
                <xdr:col>9</xdr:col>
                <xdr:colOff>381000</xdr:colOff>
                <xdr:row>3</xdr:row>
                <xdr:rowOff>0</xdr:rowOff>
              </from>
              <to>
                <xdr:col>10</xdr:col>
                <xdr:colOff>571500</xdr:colOff>
                <xdr:row>4</xdr:row>
                <xdr:rowOff>99060</xdr:rowOff>
              </to>
            </anchor>
          </controlPr>
        </control>
      </mc:Choice>
      <mc:Fallback>
        <control shapeId="10241" r:id="rId4" name="cmdInject"/>
      </mc:Fallback>
    </mc:AlternateContent>
    <mc:AlternateContent xmlns:mc="http://schemas.openxmlformats.org/markup-compatibility/2006">
      <mc:Choice Requires="x14">
        <control shapeId="10243" r:id="rId6" name="cmdClearAll">
          <controlPr defaultSize="0" autoLine="0" autoPict="0" r:id="rId7">
            <anchor moveWithCells="1">
              <from>
                <xdr:col>7</xdr:col>
                <xdr:colOff>563880</xdr:colOff>
                <xdr:row>3</xdr:row>
                <xdr:rowOff>0</xdr:rowOff>
              </from>
              <to>
                <xdr:col>9</xdr:col>
                <xdr:colOff>312420</xdr:colOff>
                <xdr:row>4</xdr:row>
                <xdr:rowOff>99060</xdr:rowOff>
              </to>
            </anchor>
          </controlPr>
        </control>
      </mc:Choice>
      <mc:Fallback>
        <control shapeId="10243" r:id="rId6" name="cmdClearAll"/>
      </mc:Fallback>
    </mc:AlternateContent>
    <mc:AlternateContent xmlns:mc="http://schemas.openxmlformats.org/markup-compatibility/2006">
      <mc:Choice Requires="x14">
        <control shapeId="10248" r:id="rId8" name="cmdClearNightShift">
          <controlPr defaultSize="0" autoLine="0" r:id="rId9">
            <anchor moveWithCells="1">
              <from>
                <xdr:col>4</xdr:col>
                <xdr:colOff>121920</xdr:colOff>
                <xdr:row>22</xdr:row>
                <xdr:rowOff>53340</xdr:rowOff>
              </from>
              <to>
                <xdr:col>6</xdr:col>
                <xdr:colOff>350520</xdr:colOff>
                <xdr:row>23</xdr:row>
                <xdr:rowOff>22860</xdr:rowOff>
              </to>
            </anchor>
          </controlPr>
        </control>
      </mc:Choice>
      <mc:Fallback>
        <control shapeId="10248" r:id="rId8" name="cmdClearNightShift"/>
      </mc:Fallback>
    </mc:AlternateContent>
    <mc:AlternateContent xmlns:mc="http://schemas.openxmlformats.org/markup-compatibility/2006">
      <mc:Choice Requires="x14">
        <control shapeId="10249" r:id="rId10" name="cmdClearDayShift">
          <controlPr defaultSize="0" autoLine="0" r:id="rId11">
            <anchor moveWithCells="1">
              <from>
                <xdr:col>4</xdr:col>
                <xdr:colOff>144780</xdr:colOff>
                <xdr:row>40</xdr:row>
                <xdr:rowOff>22860</xdr:rowOff>
              </from>
              <to>
                <xdr:col>6</xdr:col>
                <xdr:colOff>320040</xdr:colOff>
                <xdr:row>40</xdr:row>
                <xdr:rowOff>312420</xdr:rowOff>
              </to>
            </anchor>
          </controlPr>
        </control>
      </mc:Choice>
      <mc:Fallback>
        <control shapeId="10249" r:id="rId10" name="cmdClearDayShift"/>
      </mc:Fallback>
    </mc:AlternateContent>
    <mc:AlternateContent xmlns:mc="http://schemas.openxmlformats.org/markup-compatibility/2006">
      <mc:Choice Requires="x14">
        <control shapeId="10250" r:id="rId12" name="cmdClearAfternoonShift">
          <controlPr defaultSize="0" autoLine="0" r:id="rId13">
            <anchor moveWithCells="1">
              <from>
                <xdr:col>4</xdr:col>
                <xdr:colOff>160020</xdr:colOff>
                <xdr:row>58</xdr:row>
                <xdr:rowOff>22860</xdr:rowOff>
              </from>
              <to>
                <xdr:col>6</xdr:col>
                <xdr:colOff>365760</xdr:colOff>
                <xdr:row>58</xdr:row>
                <xdr:rowOff>312420</xdr:rowOff>
              </to>
            </anchor>
          </controlPr>
        </control>
      </mc:Choice>
      <mc:Fallback>
        <control shapeId="10250" r:id="rId12" name="cmdClearAfternoonShift"/>
      </mc:Fallback>
    </mc:AlternateContent>
    <mc:AlternateContent xmlns:mc="http://schemas.openxmlformats.org/markup-compatibility/2006">
      <mc:Choice Requires="x14">
        <control shapeId="10252" r:id="rId14" name="chkNightShift">
          <controlPr defaultSize="0" autoLine="0" linkedCell="G4" r:id="rId15">
            <anchor moveWithCells="1">
              <from>
                <xdr:col>5</xdr:col>
                <xdr:colOff>99060</xdr:colOff>
                <xdr:row>3</xdr:row>
                <xdr:rowOff>22860</xdr:rowOff>
              </from>
              <to>
                <xdr:col>7</xdr:col>
                <xdr:colOff>487680</xdr:colOff>
                <xdr:row>4</xdr:row>
                <xdr:rowOff>45720</xdr:rowOff>
              </to>
            </anchor>
          </controlPr>
        </control>
      </mc:Choice>
      <mc:Fallback>
        <control shapeId="10252" r:id="rId14" name="chkNightShift"/>
      </mc:Fallback>
    </mc:AlternateContent>
    <mc:AlternateContent xmlns:mc="http://schemas.openxmlformats.org/markup-compatibility/2006">
      <mc:Choice Requires="x14">
        <control shapeId="10255" r:id="rId16" name="chkAfternoonShift">
          <controlPr defaultSize="0" autoLine="0" linkedCell="G5" r:id="rId17">
            <anchor moveWithCells="1">
              <from>
                <xdr:col>5</xdr:col>
                <xdr:colOff>99060</xdr:colOff>
                <xdr:row>4</xdr:row>
                <xdr:rowOff>22860</xdr:rowOff>
              </from>
              <to>
                <xdr:col>7</xdr:col>
                <xdr:colOff>487680</xdr:colOff>
                <xdr:row>4</xdr:row>
                <xdr:rowOff>228600</xdr:rowOff>
              </to>
            </anchor>
          </controlPr>
        </control>
      </mc:Choice>
      <mc:Fallback>
        <control shapeId="10255" r:id="rId16" name="chkAfternoonShift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ataLists"/>
  <dimension ref="D3:Q36"/>
  <sheetViews>
    <sheetView showGridLines="0" showRowColHeaders="0" workbookViewId="0">
      <selection activeCell="O13" sqref="O13"/>
    </sheetView>
  </sheetViews>
  <sheetFormatPr defaultColWidth="9.109375" defaultRowHeight="13.2" x14ac:dyDescent="0.25"/>
  <cols>
    <col min="1" max="2" width="9.109375" style="201"/>
    <col min="3" max="3" width="8.5546875" style="201" customWidth="1"/>
    <col min="4" max="4" width="4.5546875" style="201" customWidth="1"/>
    <col min="5" max="5" width="14" style="201" customWidth="1"/>
    <col min="6" max="7" width="9.109375" style="201"/>
    <col min="8" max="8" width="12.44140625" style="201" customWidth="1"/>
    <col min="9" max="9" width="9.109375" style="201"/>
    <col min="10" max="10" width="12.109375" style="201" customWidth="1"/>
    <col min="11" max="11" width="9.109375" style="201"/>
    <col min="12" max="12" width="10.6640625" style="201" customWidth="1"/>
    <col min="13" max="13" width="9.109375" style="201"/>
    <col min="14" max="14" width="10.44140625" style="201" customWidth="1"/>
    <col min="15" max="15" width="9.109375" style="201"/>
    <col min="16" max="16" width="15.109375" style="201" customWidth="1"/>
    <col min="17" max="17" width="19.5546875" style="201" customWidth="1"/>
    <col min="18" max="16384" width="9.109375" style="201"/>
  </cols>
  <sheetData>
    <row r="3" spans="4:17" ht="13.8" thickBot="1" x14ac:dyDescent="0.3"/>
    <row r="4" spans="4:17" ht="14.4" thickTop="1" thickBot="1" x14ac:dyDescent="0.3">
      <c r="D4" s="409" t="s">
        <v>65</v>
      </c>
      <c r="E4" s="410"/>
      <c r="H4" s="211" t="s">
        <v>76</v>
      </c>
      <c r="J4" s="211" t="s">
        <v>77</v>
      </c>
      <c r="L4" s="211" t="s">
        <v>78</v>
      </c>
      <c r="N4" s="211" t="s">
        <v>79</v>
      </c>
      <c r="P4" s="257" t="s">
        <v>91</v>
      </c>
      <c r="Q4" s="258" t="s">
        <v>124</v>
      </c>
    </row>
    <row r="5" spans="4:17" ht="13.8" thickTop="1" x14ac:dyDescent="0.25">
      <c r="D5" s="202">
        <v>1</v>
      </c>
      <c r="E5" s="205" t="s">
        <v>66</v>
      </c>
      <c r="H5" s="208">
        <v>1</v>
      </c>
      <c r="J5" s="208">
        <v>1</v>
      </c>
      <c r="L5" s="208">
        <v>1</v>
      </c>
      <c r="N5" s="208">
        <v>1</v>
      </c>
      <c r="P5" s="259" t="s">
        <v>92</v>
      </c>
      <c r="Q5" s="260">
        <v>2017</v>
      </c>
    </row>
    <row r="6" spans="4:17" ht="13.8" thickBot="1" x14ac:dyDescent="0.3">
      <c r="D6" s="203">
        <v>2</v>
      </c>
      <c r="E6" s="206" t="s">
        <v>67</v>
      </c>
      <c r="H6" s="209">
        <v>2</v>
      </c>
      <c r="J6" s="209">
        <v>2</v>
      </c>
      <c r="L6" s="209">
        <v>2</v>
      </c>
      <c r="N6" s="209">
        <v>2</v>
      </c>
      <c r="P6" s="261" t="s">
        <v>93</v>
      </c>
      <c r="Q6" s="262" t="s">
        <v>123</v>
      </c>
    </row>
    <row r="7" spans="4:17" ht="13.8" thickTop="1" x14ac:dyDescent="0.25">
      <c r="D7" s="203">
        <v>3</v>
      </c>
      <c r="E7" s="206" t="s">
        <v>68</v>
      </c>
      <c r="H7" s="209">
        <v>3</v>
      </c>
      <c r="J7" s="209">
        <v>3</v>
      </c>
      <c r="L7" s="209">
        <v>3</v>
      </c>
      <c r="N7" s="209">
        <v>3</v>
      </c>
    </row>
    <row r="8" spans="4:17" x14ac:dyDescent="0.25">
      <c r="D8" s="203">
        <v>4</v>
      </c>
      <c r="E8" s="206" t="s">
        <v>69</v>
      </c>
      <c r="H8" s="209">
        <v>4</v>
      </c>
      <c r="J8" s="209">
        <v>4</v>
      </c>
      <c r="L8" s="209">
        <v>4</v>
      </c>
      <c r="N8" s="209">
        <v>4</v>
      </c>
    </row>
    <row r="9" spans="4:17" x14ac:dyDescent="0.25">
      <c r="D9" s="203">
        <v>5</v>
      </c>
      <c r="E9" s="206" t="s">
        <v>70</v>
      </c>
      <c r="H9" s="209">
        <v>5</v>
      </c>
      <c r="J9" s="209">
        <v>5</v>
      </c>
      <c r="L9" s="209">
        <v>5</v>
      </c>
      <c r="N9" s="209">
        <v>5</v>
      </c>
    </row>
    <row r="10" spans="4:17" x14ac:dyDescent="0.25">
      <c r="D10" s="203">
        <v>6</v>
      </c>
      <c r="E10" s="206" t="s">
        <v>71</v>
      </c>
      <c r="H10" s="209">
        <v>6</v>
      </c>
      <c r="J10" s="209">
        <v>6</v>
      </c>
      <c r="L10" s="209">
        <v>6</v>
      </c>
      <c r="N10" s="209">
        <v>6</v>
      </c>
    </row>
    <row r="11" spans="4:17" x14ac:dyDescent="0.25">
      <c r="D11" s="203">
        <v>7</v>
      </c>
      <c r="E11" s="206" t="s">
        <v>72</v>
      </c>
      <c r="H11" s="209">
        <v>7</v>
      </c>
      <c r="J11" s="209">
        <v>7</v>
      </c>
      <c r="L11" s="209">
        <v>7</v>
      </c>
      <c r="N11" s="209">
        <v>7</v>
      </c>
    </row>
    <row r="12" spans="4:17" x14ac:dyDescent="0.25">
      <c r="D12" s="203">
        <v>8</v>
      </c>
      <c r="E12" s="206" t="s">
        <v>73</v>
      </c>
      <c r="H12" s="209">
        <v>8</v>
      </c>
      <c r="J12" s="209">
        <v>8</v>
      </c>
      <c r="L12" s="209">
        <v>8</v>
      </c>
      <c r="N12" s="209">
        <v>8</v>
      </c>
    </row>
    <row r="13" spans="4:17" x14ac:dyDescent="0.25">
      <c r="D13" s="203">
        <v>9</v>
      </c>
      <c r="E13" s="206" t="s">
        <v>64</v>
      </c>
      <c r="H13" s="209">
        <v>9</v>
      </c>
      <c r="J13" s="209">
        <v>9</v>
      </c>
      <c r="L13" s="209">
        <v>9</v>
      </c>
      <c r="N13" s="209">
        <v>9</v>
      </c>
    </row>
    <row r="14" spans="4:17" x14ac:dyDescent="0.25">
      <c r="D14" s="203">
        <v>10</v>
      </c>
      <c r="E14" s="206" t="s">
        <v>63</v>
      </c>
      <c r="H14" s="209">
        <v>10</v>
      </c>
      <c r="J14" s="209">
        <v>10</v>
      </c>
      <c r="L14" s="209">
        <v>10</v>
      </c>
      <c r="N14" s="209">
        <v>10</v>
      </c>
    </row>
    <row r="15" spans="4:17" x14ac:dyDescent="0.25">
      <c r="D15" s="203">
        <v>11</v>
      </c>
      <c r="E15" s="206" t="s">
        <v>74</v>
      </c>
      <c r="H15" s="209">
        <v>11</v>
      </c>
      <c r="J15" s="209">
        <v>11</v>
      </c>
      <c r="L15" s="209">
        <v>11</v>
      </c>
      <c r="N15" s="209">
        <v>11</v>
      </c>
    </row>
    <row r="16" spans="4:17" ht="13.8" thickBot="1" x14ac:dyDescent="0.3">
      <c r="D16" s="204">
        <v>12</v>
      </c>
      <c r="E16" s="207" t="s">
        <v>75</v>
      </c>
      <c r="H16" s="209">
        <v>12</v>
      </c>
      <c r="J16" s="209">
        <v>12</v>
      </c>
      <c r="L16" s="209">
        <v>12</v>
      </c>
      <c r="N16" s="209">
        <v>12</v>
      </c>
    </row>
    <row r="17" spans="8:14" ht="13.8" thickTop="1" x14ac:dyDescent="0.25">
      <c r="H17" s="209">
        <v>13</v>
      </c>
      <c r="J17" s="209">
        <v>13</v>
      </c>
      <c r="L17" s="209">
        <v>13</v>
      </c>
      <c r="N17" s="209">
        <v>13</v>
      </c>
    </row>
    <row r="18" spans="8:14" x14ac:dyDescent="0.25">
      <c r="H18" s="209">
        <v>14</v>
      </c>
      <c r="J18" s="209">
        <v>14</v>
      </c>
      <c r="L18" s="209">
        <v>14</v>
      </c>
      <c r="N18" s="209">
        <v>14</v>
      </c>
    </row>
    <row r="19" spans="8:14" x14ac:dyDescent="0.25">
      <c r="H19" s="209">
        <v>15</v>
      </c>
      <c r="J19" s="209">
        <v>15</v>
      </c>
      <c r="L19" s="209">
        <v>15</v>
      </c>
      <c r="N19" s="209">
        <v>15</v>
      </c>
    </row>
    <row r="20" spans="8:14" x14ac:dyDescent="0.25">
      <c r="H20" s="209">
        <v>16</v>
      </c>
      <c r="J20" s="209">
        <v>16</v>
      </c>
      <c r="L20" s="209">
        <v>16</v>
      </c>
      <c r="N20" s="209">
        <v>16</v>
      </c>
    </row>
    <row r="21" spans="8:14" x14ac:dyDescent="0.25">
      <c r="H21" s="209">
        <v>17</v>
      </c>
      <c r="J21" s="209">
        <v>17</v>
      </c>
      <c r="L21" s="209">
        <v>17</v>
      </c>
      <c r="N21" s="209">
        <v>17</v>
      </c>
    </row>
    <row r="22" spans="8:14" x14ac:dyDescent="0.25">
      <c r="H22" s="209">
        <v>18</v>
      </c>
      <c r="J22" s="209">
        <v>18</v>
      </c>
      <c r="L22" s="209">
        <v>18</v>
      </c>
      <c r="N22" s="209">
        <v>18</v>
      </c>
    </row>
    <row r="23" spans="8:14" x14ac:dyDescent="0.25">
      <c r="H23" s="209">
        <v>19</v>
      </c>
      <c r="J23" s="209">
        <v>19</v>
      </c>
      <c r="L23" s="209">
        <v>19</v>
      </c>
      <c r="N23" s="209">
        <v>19</v>
      </c>
    </row>
    <row r="24" spans="8:14" x14ac:dyDescent="0.25">
      <c r="H24" s="209">
        <v>20</v>
      </c>
      <c r="J24" s="209">
        <v>20</v>
      </c>
      <c r="L24" s="209">
        <v>20</v>
      </c>
      <c r="N24" s="209">
        <v>20</v>
      </c>
    </row>
    <row r="25" spans="8:14" x14ac:dyDescent="0.25">
      <c r="H25" s="209">
        <v>21</v>
      </c>
      <c r="J25" s="209">
        <v>21</v>
      </c>
      <c r="L25" s="209">
        <v>21</v>
      </c>
      <c r="N25" s="209">
        <v>21</v>
      </c>
    </row>
    <row r="26" spans="8:14" x14ac:dyDescent="0.25">
      <c r="H26" s="209">
        <v>22</v>
      </c>
      <c r="J26" s="209">
        <v>22</v>
      </c>
      <c r="L26" s="209">
        <v>22</v>
      </c>
      <c r="N26" s="209">
        <v>22</v>
      </c>
    </row>
    <row r="27" spans="8:14" x14ac:dyDescent="0.25">
      <c r="H27" s="209">
        <v>23</v>
      </c>
      <c r="J27" s="209">
        <v>23</v>
      </c>
      <c r="L27" s="209">
        <v>23</v>
      </c>
      <c r="N27" s="209">
        <v>23</v>
      </c>
    </row>
    <row r="28" spans="8:14" x14ac:dyDescent="0.25">
      <c r="H28" s="209">
        <v>24</v>
      </c>
      <c r="J28" s="209">
        <v>24</v>
      </c>
      <c r="L28" s="209">
        <v>24</v>
      </c>
      <c r="N28" s="209">
        <v>24</v>
      </c>
    </row>
    <row r="29" spans="8:14" x14ac:dyDescent="0.25">
      <c r="H29" s="209">
        <v>25</v>
      </c>
      <c r="J29" s="209">
        <v>25</v>
      </c>
      <c r="L29" s="209">
        <v>25</v>
      </c>
      <c r="N29" s="209">
        <v>25</v>
      </c>
    </row>
    <row r="30" spans="8:14" x14ac:dyDescent="0.25">
      <c r="H30" s="209">
        <v>26</v>
      </c>
      <c r="J30" s="209">
        <v>26</v>
      </c>
      <c r="L30" s="209">
        <v>26</v>
      </c>
      <c r="N30" s="209">
        <v>26</v>
      </c>
    </row>
    <row r="31" spans="8:14" x14ac:dyDescent="0.25">
      <c r="H31" s="209">
        <v>27</v>
      </c>
      <c r="J31" s="209">
        <v>27</v>
      </c>
      <c r="L31" s="209">
        <v>27</v>
      </c>
      <c r="N31" s="209">
        <v>27</v>
      </c>
    </row>
    <row r="32" spans="8:14" ht="13.8" thickBot="1" x14ac:dyDescent="0.3">
      <c r="H32" s="209">
        <v>28</v>
      </c>
      <c r="J32" s="209">
        <v>28</v>
      </c>
      <c r="L32" s="210">
        <v>28</v>
      </c>
      <c r="N32" s="209">
        <v>28</v>
      </c>
    </row>
    <row r="33" spans="8:14" ht="14.4" thickTop="1" thickBot="1" x14ac:dyDescent="0.3">
      <c r="H33" s="209">
        <v>29</v>
      </c>
      <c r="J33" s="209">
        <v>29</v>
      </c>
      <c r="N33" s="210">
        <v>29</v>
      </c>
    </row>
    <row r="34" spans="8:14" ht="14.4" thickTop="1" thickBot="1" x14ac:dyDescent="0.3">
      <c r="H34" s="210">
        <v>30</v>
      </c>
      <c r="J34" s="209">
        <v>30</v>
      </c>
    </row>
    <row r="35" spans="8:14" ht="14.4" thickTop="1" thickBot="1" x14ac:dyDescent="0.3">
      <c r="J35" s="210">
        <v>31</v>
      </c>
    </row>
    <row r="36" spans="8:14" ht="13.8" thickTop="1" x14ac:dyDescent="0.25"/>
  </sheetData>
  <sheetProtection sheet="1" objects="1" scenarios="1" selectLockedCells="1"/>
  <customSheetViews>
    <customSheetView guid="{E9A9889A-61F5-47D0-A5C6-BF43493EDD61}" showGridLines="0" showRowCol="0" state="hidden">
      <selection activeCell="O13" sqref="O13"/>
    </customSheetView>
    <customSheetView guid="{505FDB09-1B2F-4C19-8222-6158EDD21A0E}" showGridLines="0" showRowCol="0" state="hidden">
      <selection activeCell="O13" sqref="O13"/>
    </customSheetView>
    <customSheetView guid="{7982FB7F-E997-4C70-8B2B-B628B46385D2}" showGridLines="0" showRowCol="0" state="hidden">
      <selection activeCell="O13" sqref="O13"/>
    </customSheetView>
    <customSheetView guid="{9679493F-7CDF-46D6-BE72-B12FE11A478F}" showGridLines="0" showRowCol="0" state="hidden">
      <selection activeCell="O13" sqref="O13"/>
    </customSheetView>
  </customSheetViews>
  <mergeCells count="1">
    <mergeCell ref="D4:E4"/>
  </mergeCells>
  <pageMargins left="0.7" right="0.7" top="0.75" bottom="0.75" header="0.3" footer="0.3"/>
  <pageSetup orientation="portrait" r:id="rId1"/>
</worksheet>
</file>

<file path=customUI/customUI.xml><?xml version="1.0" encoding="utf-8"?>
<customUI xmlns="http://schemas.microsoft.com/office/2006/01/customui" onLoad="initRibbon">
  <ribbon startFromScratch="false">
    <tabs>
      <tab id="tabRosters" label="REPORT">
        <group id="navGroup" label="Navigation">
          <button id="rbtFruitConfiscated" label="Fruit Confiscated" imageMso="WebPagePreview" onAction="GoFruitConfiscated"/>
          <button id="rbtCommercialVehicles" label="Commercial Vehicles" imageMso="ReviewShowOrHideMarkup" onAction="GoCommercialVehicles"/>
          <button id="rbtCars" label="Cars" imageMso="Breakpoint" onAction="GoCars"/>
          <button id="rbtNightShift" label="Night Shift" imageMso="PictureContrastGallery" onAction="GoNightShift"/>
          <button id="rbtVehiclesWithFruit" label="Vehicles With Fruit" imageMso="QueryAppend" onAction="GoVehiclesWithFruit"/>
          <button id="rbtFoodland" label="Foodland" imageMso="DollarSign" onAction="GoFoodland"/>
          <separator id="sepNavMain"/>
          <button id="rbtStock" label="Stock" imageMso="Piggy" onAction="GoStock"/>
          <button id="rbtPreviousData" label="Previous Data" imageMso="RecoverInviteToMeeting" onAction="GoPreviousData"/>
          <button id="rbtSummary" label="Summary" imageMso="PageSetupPageDialog" onAction="GoSummary"/>
        </group>
        <group id="settingsGroup" label="Settings">
          <dropDown id="ddwnYears" label="Year Ending:" onAction="ChangeYear" getSelectedItemID="GetYear">
            <item id="id2017" label="2017"/>
            <item id="id2018" label="2018"/>
            <item id="id2019" label="2019"/>
            <item id="id2020" label="2020"/>
            <item id="id2021" label="2021"/>
          </dropDown>
          <dropDown id="ddwnMonths" label="Month:" onAction="ChangeMonth" getSelectedItemID="GetMonth">
            <item id="id1" label="January"/>
            <item id="id2" label="February"/>
            <item id="id3" label="March"/>
            <item id="id4" label="April"/>
            <item id="id5" label="May"/>
            <item id="id6" label="June"/>
            <item id="id7" label="July"/>
            <item id="id8" label="August"/>
            <item id="id9" label="September"/>
            <item id="id10" label="October"/>
            <item id="id11" label="November"/>
            <item id="id12" label="December"/>
          </dropDown>
          <separator id="sepSettings"/>
          <dropDown id="idLocation" label="Location:" onAction="SetLocation" getSelectedItemID="GetLocation">
            <item id="idCEDUNA" label="CEDUNA"/>
            <item id="idOODLAWIRRA" label="OODLA WIRRA"/>
            <item id="idPINNAROO" label="PINNAROO"/>
            <item id="idYAMBA" label="YAMBA"/>
          </dropDown>
        </group>
      </tab>
    </tabs>
  </ribbon>
</customUI>
</file>

<file path=customUI/customUI14.xml><?xml version="1.0" encoding="utf-8"?>
<customUI xmlns="http://schemas.microsoft.com/office/2009/07/customui" onLoad="initRibbon">
  <ribbon startFromScratch="false">
    <tabs>
      <tab id="tabRosters" label="REPORT">
        <group id="navGroup" label="Navigation">
          <button id="rbtFruitConfiscated" label="Fruit Confiscated" imageMso="WebPagePreview" onAction="GoFruitConfiscated"/>
          <button id="rbtCommercialVehicles" label="Commercial Vehicles" imageMso="ReviewShowOrHideMarkup" onAction="GoCommercialVehicles"/>
          <button id="rbtCars" label="Cars" imageMso="Breakpoint" onAction="GoCars"/>
          <button id="rbtNightShift" label="Night Shift" imageMso="PictureContrastGallery" onAction="GoNightShift"/>
          <button id="rbtVehiclesWithFruit" label="Vehicles With Fruit" imageMso="QueryAppend" onAction="GoVehiclesWithFruit"/>
          <button id="rbtFoodland" label="Foodland" imageMso="DollarSign" onAction="GoFoodland"/>
          <separator id="sepNavMain"/>
          <button id="rbtStock" label="Stock" imageMso="Piggy" onAction="GoStock"/>
          <button id="rbtPreviousData" label="Previous Data" imageMso="RecoverInviteToMeeting" onAction="GoPreviousData"/>
          <button id="rbtSummary" label="Summary" imageMso="PageSetupPageDialog" onAction="GoSummary"/>
        </group>
        <group id="settingsGroup" label="Settings">
          <dropDown id="ddwnYears" label="Year Ending:" onAction="ChangeYear" getSelectedItemID="GetYear">
            <item id="id2017" label="2017"/>
            <item id="id2018" label="2018"/>
            <item id="id2019" label="2019"/>
            <item id="id2020" label="2020"/>
            <item id="id2021" label="2021"/>
          </dropDown>
          <dropDown id="ddwnMonths" label="Month:" onAction="ChangeMonth" getSelectedItemID="GetMonth">
            <item id="id1" label="January"/>
            <item id="id2" label="February"/>
            <item id="id3" label="March"/>
            <item id="id4" label="April"/>
            <item id="id5" label="May"/>
            <item id="id6" label="June"/>
            <item id="id7" label="July"/>
            <item id="id8" label="August"/>
            <item id="id9" label="September"/>
            <item id="id10" label="October"/>
            <item id="id11" label="November"/>
            <item id="id12" label="December"/>
          </dropDown>
          <separator id="sepSettings"/>
          <dropDown id="idLocation" label="Location:" onAction="SetLocation" getSelectedItemID="GetLocation">
            <item id="idCEDUNA" label="CEDUNA"/>
            <item id="idOODLAWIRRA" label="OODLA WIRRA"/>
            <item id="idPINNAROO" label="PINNAROO"/>
            <item id="idYAMBA" label="YAMBA"/>
          </dropDown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87</vt:i4>
      </vt:variant>
    </vt:vector>
  </HeadingPairs>
  <TitlesOfParts>
    <vt:vector size="101" baseType="lpstr">
      <vt:lpstr>Fruit Confiscated</vt:lpstr>
      <vt:lpstr>Commercial Vehicles</vt:lpstr>
      <vt:lpstr>Cars</vt:lpstr>
      <vt:lpstr>Vehicle Counter</vt:lpstr>
      <vt:lpstr>Caravans</vt:lpstr>
      <vt:lpstr>Midnight</vt:lpstr>
      <vt:lpstr>Shift Stats</vt:lpstr>
      <vt:lpstr>Vehicles Carrying Fruit</vt:lpstr>
      <vt:lpstr>Previous Data</vt:lpstr>
      <vt:lpstr>Foodland</vt:lpstr>
      <vt:lpstr>Stock Totals</vt:lpstr>
      <vt:lpstr>Summary</vt:lpstr>
      <vt:lpstr>Data Input</vt:lpstr>
      <vt:lpstr>Data Lists</vt:lpstr>
      <vt:lpstr>AfternoonShift</vt:lpstr>
      <vt:lpstr>Caravans!Cars</vt:lpstr>
      <vt:lpstr>Cars</vt:lpstr>
      <vt:lpstr>Cattle</vt:lpstr>
      <vt:lpstr>chkAfternoons</vt:lpstr>
      <vt:lpstr>chkNights</vt:lpstr>
      <vt:lpstr>CommercialVehicles</vt:lpstr>
      <vt:lpstr>DateCaravans</vt:lpstr>
      <vt:lpstr>DateComercialVehicles</vt:lpstr>
      <vt:lpstr>DateFruitConfiscated</vt:lpstr>
      <vt:lpstr>DateMidnight</vt:lpstr>
      <vt:lpstr>DateShiftStats</vt:lpstr>
      <vt:lpstr>Caravans!DateVehiclesPassing</vt:lpstr>
      <vt:lpstr>DateVehiclesPassing</vt:lpstr>
      <vt:lpstr>DateVehiclesWithFruit</vt:lpstr>
      <vt:lpstr>Datum</vt:lpstr>
      <vt:lpstr>DatumAfternoon</vt:lpstr>
      <vt:lpstr>DatumDay</vt:lpstr>
      <vt:lpstr>DatumNight</vt:lpstr>
      <vt:lpstr>Day</vt:lpstr>
      <vt:lpstr>DayLast</vt:lpstr>
      <vt:lpstr>DayShift</vt:lpstr>
      <vt:lpstr>EXShiftStats</vt:lpstr>
      <vt:lpstr>February</vt:lpstr>
      <vt:lpstr>FFlyHostFruit</vt:lpstr>
      <vt:lpstr>FruitConfiscated</vt:lpstr>
      <vt:lpstr>FruitFly</vt:lpstr>
      <vt:lpstr>HostFruit</vt:lpstr>
      <vt:lpstr>LastEntry</vt:lpstr>
      <vt:lpstr>LastInput</vt:lpstr>
      <vt:lpstr>LeapYear</vt:lpstr>
      <vt:lpstr>Location</vt:lpstr>
      <vt:lpstr>LongMonth</vt:lpstr>
      <vt:lpstr>Midnight</vt:lpstr>
      <vt:lpstr>Month</vt:lpstr>
      <vt:lpstr>Months</vt:lpstr>
      <vt:lpstr>NightShift</vt:lpstr>
      <vt:lpstr>NonFFlyHostFruit</vt:lpstr>
      <vt:lpstr>NonHostFruit</vt:lpstr>
      <vt:lpstr>Other</vt:lpstr>
      <vt:lpstr>PBal</vt:lpstr>
      <vt:lpstr>Pigs</vt:lpstr>
      <vt:lpstr>PrevCattle</vt:lpstr>
      <vt:lpstr>PrevFruitFly</vt:lpstr>
      <vt:lpstr>PreviousFoodlandBalance</vt:lpstr>
      <vt:lpstr>PrevOther</vt:lpstr>
      <vt:lpstr>PrevPigs</vt:lpstr>
      <vt:lpstr>PrevSheep</vt:lpstr>
      <vt:lpstr>PrevTotalCaravans</vt:lpstr>
      <vt:lpstr>PrevTotalCars</vt:lpstr>
      <vt:lpstr>PrevTotalCommVehicles</vt:lpstr>
      <vt:lpstr>PrevTotalFruitConfiscated</vt:lpstr>
      <vt:lpstr>PrevTotalHostFruit</vt:lpstr>
      <vt:lpstr>PrevTotalNonHostFruit</vt:lpstr>
      <vt:lpstr>PrevTotalVehicles</vt:lpstr>
      <vt:lpstr>PrevTotalVehiclesWF</vt:lpstr>
      <vt:lpstr>Caravans!Print_Area</vt:lpstr>
      <vt:lpstr>Cars!Print_Area</vt:lpstr>
      <vt:lpstr>'Commercial Vehicles'!Print_Area</vt:lpstr>
      <vt:lpstr>'Fruit Confiscated'!Print_Area</vt:lpstr>
      <vt:lpstr>Midnight!Print_Area</vt:lpstr>
      <vt:lpstr>'Shift Stats'!Print_Area</vt:lpstr>
      <vt:lpstr>Summary!Print_Area</vt:lpstr>
      <vt:lpstr>'Vehicles Carrying Fruit'!Print_Area</vt:lpstr>
      <vt:lpstr>Sheep</vt:lpstr>
      <vt:lpstr>ShiftStats</vt:lpstr>
      <vt:lpstr>ShiftStatsTotal</vt:lpstr>
      <vt:lpstr>ShortMonth</vt:lpstr>
      <vt:lpstr>TotalCaravans</vt:lpstr>
      <vt:lpstr>Caravans!TotalCars</vt:lpstr>
      <vt:lpstr>TotalCars</vt:lpstr>
      <vt:lpstr>TotalCommVehicles</vt:lpstr>
      <vt:lpstr>TotalFruitConfiscated</vt:lpstr>
      <vt:lpstr>TotalFruitTaken</vt:lpstr>
      <vt:lpstr>TotalStock</vt:lpstr>
      <vt:lpstr>TotalVehicles</vt:lpstr>
      <vt:lpstr>TotalVehiclesWF</vt:lpstr>
      <vt:lpstr>VehiclesWF</vt:lpstr>
      <vt:lpstr>VehiclesWFNSW</vt:lpstr>
      <vt:lpstr>VehiclesWFOthers</vt:lpstr>
      <vt:lpstr>VehiclesWFQLD</vt:lpstr>
      <vt:lpstr>VehiclesWFSA</vt:lpstr>
      <vt:lpstr>VehiclesWFTOT</vt:lpstr>
      <vt:lpstr>VehiclesWFVIC</vt:lpstr>
      <vt:lpstr>VehiclesWFWA</vt:lpstr>
      <vt:lpstr>VehiclesWithFruit</vt:lpstr>
      <vt:lpstr>Year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Oodla Wirra Monthly Stats</dc:title>
  <dc:subject>road and car figures</dc:subject>
  <dc:creator>oodlypub@gmail.com</dc:creator>
  <cp:lastModifiedBy>oodlypub@gmail.com</cp:lastModifiedBy>
  <cp:lastPrinted>2017-10-22T20:56:47Z</cp:lastPrinted>
  <dcterms:created xsi:type="dcterms:W3CDTF">1998-05-04T06:57:40Z</dcterms:created>
  <dcterms:modified xsi:type="dcterms:W3CDTF">2019-07-18T00:45:43Z</dcterms:modified>
</cp:coreProperties>
</file>