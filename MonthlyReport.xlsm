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wbkMonRep"/>
  <mc:AlternateContent xmlns:mc="http://schemas.openxmlformats.org/markup-compatibility/2006">
    <mc:Choice Requires="x15">
      <x15ac:absPath xmlns:x15ac="http://schemas.microsoft.com/office/spreadsheetml/2010/11/ac" url="D:\Stumped\GitStuff\MonthlyReport\"/>
    </mc:Choice>
  </mc:AlternateContent>
  <xr:revisionPtr revIDLastSave="0" documentId="13_ncr:1_{9CCB898A-A516-4604-87FC-7C9253EBC59D}" xr6:coauthVersionLast="47" xr6:coauthVersionMax="47" xr10:uidLastSave="{00000000-0000-0000-0000-000000000000}"/>
  <bookViews>
    <workbookView xWindow="-108" yWindow="-108" windowWidth="23256" windowHeight="12576" tabRatio="689" firstSheet="2" activeTab="12" xr2:uid="{00000000-000D-0000-FFFF-FFFF00000000}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">'Shift Stats'!$E$5:$G$35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81029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I52" i="11" l="1"/>
  <c r="D7" i="16" l="1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6" i="16"/>
  <c r="D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5" i="16"/>
  <c r="L31" i="16" s="1"/>
  <c r="K9" i="16" l="1"/>
  <c r="K11" i="16"/>
  <c r="L10" i="16"/>
  <c r="L8" i="16"/>
  <c r="L6" i="16"/>
  <c r="K35" i="16"/>
  <c r="K31" i="16"/>
  <c r="M36" i="16"/>
  <c r="M34" i="16"/>
  <c r="M32" i="16"/>
  <c r="K8" i="16"/>
  <c r="M5" i="16"/>
  <c r="M9" i="16"/>
  <c r="M7" i="16"/>
  <c r="M11" i="16"/>
  <c r="K34" i="16"/>
  <c r="K30" i="16"/>
  <c r="L36" i="16"/>
  <c r="L34" i="16"/>
  <c r="L32" i="16"/>
  <c r="K5" i="16"/>
  <c r="K7" i="16"/>
  <c r="L5" i="16"/>
  <c r="L9" i="16"/>
  <c r="L7" i="16"/>
  <c r="L11" i="16"/>
  <c r="K33" i="16"/>
  <c r="M30" i="16"/>
  <c r="M35" i="16"/>
  <c r="M33" i="16"/>
  <c r="M31" i="16"/>
  <c r="K10" i="16"/>
  <c r="K6" i="16"/>
  <c r="M10" i="16"/>
  <c r="M8" i="16"/>
  <c r="M6" i="16"/>
  <c r="K36" i="16"/>
  <c r="K32" i="16"/>
  <c r="L30" i="16"/>
  <c r="L35" i="16"/>
  <c r="L33" i="16"/>
  <c r="C3" i="16"/>
  <c r="N9" i="16" l="1"/>
  <c r="N5" i="16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I7" i="16" s="1"/>
  <c r="H36" i="2"/>
  <c r="G36" i="2"/>
  <c r="F36" i="2"/>
  <c r="E36" i="2"/>
  <c r="D36" i="2"/>
  <c r="C36" i="2"/>
  <c r="I28" i="2"/>
  <c r="I28" i="16" s="1"/>
  <c r="I27" i="2"/>
  <c r="I14" i="2"/>
  <c r="I8" i="2"/>
  <c r="I8" i="16" s="1"/>
  <c r="I5" i="2"/>
  <c r="I6" i="2"/>
  <c r="I9" i="2"/>
  <c r="I9" i="16" s="1"/>
  <c r="I10" i="2"/>
  <c r="I10" i="16" s="1"/>
  <c r="I11" i="2"/>
  <c r="I11" i="16" s="1"/>
  <c r="I12" i="2"/>
  <c r="I12" i="16" s="1"/>
  <c r="I13" i="2"/>
  <c r="I13" i="16" s="1"/>
  <c r="I15" i="2"/>
  <c r="I15" i="16" s="1"/>
  <c r="I16" i="2"/>
  <c r="I17" i="2"/>
  <c r="I18" i="2"/>
  <c r="I19" i="2"/>
  <c r="I19" i="16" s="1"/>
  <c r="I20" i="2"/>
  <c r="I21" i="2"/>
  <c r="I22" i="2"/>
  <c r="I23" i="2"/>
  <c r="I23" i="16" s="1"/>
  <c r="I24" i="2"/>
  <c r="I25" i="2"/>
  <c r="I25" i="16" s="1"/>
  <c r="I26" i="2"/>
  <c r="I26" i="16" s="1"/>
  <c r="I29" i="2"/>
  <c r="I29" i="16" s="1"/>
  <c r="I30" i="2"/>
  <c r="I31" i="2"/>
  <c r="I32" i="2"/>
  <c r="I32" i="16" s="1"/>
  <c r="I33" i="2"/>
  <c r="I33" i="16" s="1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I18" i="16" l="1"/>
  <c r="I34" i="16"/>
  <c r="I30" i="16"/>
  <c r="I24" i="16"/>
  <c r="I20" i="16"/>
  <c r="I16" i="16"/>
  <c r="I5" i="16"/>
  <c r="I22" i="16"/>
  <c r="I14" i="16"/>
  <c r="I35" i="16"/>
  <c r="I31" i="16"/>
  <c r="I21" i="16"/>
  <c r="I17" i="16"/>
  <c r="I6" i="16"/>
  <c r="I27" i="16"/>
  <c r="M32" i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<sst xmlns="http://schemas.openxmlformats.org/spreadsheetml/2006/main" count="279" uniqueCount="126">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</sst>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[$-F800]dddd\,\ mmmm\ dd\,\ yyyy"/>
    <numFmt numFmtId="166" formatCode="dddd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  <font>
      <sz val="10"/>
      <color theme="2"/>
      <name val="Arial"/>
      <family val="2"/>
    </font>
    <font>
      <sz val="10"/>
      <color theme="0" tint="-4.9989318521683403E-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0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73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7" fillId="0" borderId="0" xfId="0" applyFont="1"/>
    <xf numFmtId="0" fontId="9" fillId="0" borderId="0" xfId="0" applyFont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/>
    </xf>
    <xf numFmtId="0" fontId="8" fillId="11" borderId="49" xfId="0" applyFont="1" applyFill="1" applyBorder="1" applyAlignment="1">
      <alignment horizontal="center" vertical="center"/>
    </xf>
    <xf numFmtId="0" fontId="8" fillId="11" borderId="50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Alignment="1">
      <alignment horizontal="left" vertical="top" wrapText="1"/>
    </xf>
    <xf numFmtId="0" fontId="24" fillId="0" borderId="0" xfId="0" applyFont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right"/>
    </xf>
    <xf numFmtId="0" fontId="0" fillId="0" borderId="26" xfId="0" applyBorder="1"/>
    <xf numFmtId="0" fontId="14" fillId="0" borderId="26" xfId="0" applyFont="1" applyBorder="1" applyAlignment="1">
      <alignment horizontal="left" vertical="top" wrapText="1"/>
    </xf>
    <xf numFmtId="0" fontId="26" fillId="14" borderId="26" xfId="0" applyFont="1" applyFill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/>
    </xf>
    <xf numFmtId="0" fontId="26" fillId="14" borderId="0" xfId="0" applyFont="1" applyFill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7" fillId="0" borderId="57" xfId="0" applyFont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59" xfId="0" applyFill="1" applyBorder="1"/>
    <xf numFmtId="0" fontId="4" fillId="17" borderId="0" xfId="0" applyFont="1" applyFill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164" fontId="2" fillId="21" borderId="0" xfId="3" applyNumberFormat="1" applyFill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3" fillId="0" borderId="1" xfId="0" applyFont="1" applyBorder="1"/>
    <xf numFmtId="0" fontId="7" fillId="3" borderId="0" xfId="0" applyFont="1" applyFill="1" applyProtection="1">
      <protection hidden="1"/>
    </xf>
    <xf numFmtId="0" fontId="20" fillId="0" borderId="0" xfId="0" applyFont="1" applyAlignment="1" applyProtection="1">
      <alignment horizontal="left" vertical="top" readingOrder="1"/>
      <protection hidden="1"/>
    </xf>
    <xf numFmtId="0" fontId="0" fillId="0" borderId="0" xfId="0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/>
    <xf numFmtId="164" fontId="1" fillId="21" borderId="21" xfId="3" applyNumberFormat="1" applyFont="1" applyFill="1" applyBorder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1" fontId="7" fillId="0" borderId="0" xfId="0" applyNumberFormat="1" applyFont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1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18" fillId="0" borderId="104" xfId="0" applyFont="1" applyBorder="1"/>
    <xf numFmtId="0" fontId="18" fillId="0" borderId="102" xfId="0" applyFont="1" applyBorder="1"/>
    <xf numFmtId="0" fontId="18" fillId="0" borderId="103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0" fontId="35" fillId="21" borderId="105" xfId="0" applyFont="1" applyFill="1" applyBorder="1"/>
    <xf numFmtId="0" fontId="35" fillId="21" borderId="106" xfId="0" applyFont="1" applyFill="1" applyBorder="1"/>
    <xf numFmtId="0" fontId="35" fillId="21" borderId="107" xfId="0" applyFont="1" applyFill="1" applyBorder="1"/>
    <xf numFmtId="1" fontId="16" fillId="0" borderId="2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08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37" fillId="0" borderId="0" xfId="0" applyFont="1"/>
    <xf numFmtId="0" fontId="38" fillId="0" borderId="0" xfId="0" applyFont="1"/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/>
    <xf numFmtId="0" fontId="0" fillId="0" borderId="23" xfId="0" applyBorder="1"/>
    <xf numFmtId="0" fontId="9" fillId="0" borderId="1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/>
    <xf numFmtId="0" fontId="0" fillId="0" borderId="24" xfId="0" applyBorder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 xr:uid="{00000000-0005-0000-0000-000002000000}"/>
    <cellStyle name="Percent" xfId="1" builtinId="5"/>
  </cellStyles>
  <dxfs count="5">
    <dxf>
      <font>
        <b/>
        <i val="0"/>
        <color rgb="FFFF0000"/>
      </font>
    </dxf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0000"/>
      <color rgb="FFE1FFE4"/>
      <color rgb="FFE7FFEC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073632"/>
        <c:axId val="132605184"/>
      </c:barChart>
      <c:catAx>
        <c:axId val="13307363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051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26051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07363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891256"/>
        <c:axId val="301678016"/>
      </c:barChart>
      <c:catAx>
        <c:axId val="132891256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16780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16780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891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852296"/>
        <c:axId val="131851120"/>
      </c:barChart>
      <c:catAx>
        <c:axId val="131852296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5112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31851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522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847592"/>
        <c:axId val="131851512"/>
      </c:barChart>
      <c:catAx>
        <c:axId val="131847592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515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18515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8475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659216"/>
        <c:axId val="132661176"/>
      </c:barChart>
      <c:catAx>
        <c:axId val="13265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117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3266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5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658824"/>
        <c:axId val="132663528"/>
      </c:barChart>
      <c:catAx>
        <c:axId val="132658824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63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326635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88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A-4CC2-9FEF-3E0266C5934B}"/>
            </c:ext>
          </c:extLst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A-4CC2-9FEF-3E0266C5934B}"/>
            </c:ext>
          </c:extLst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A-4CC2-9FEF-3E0266C59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656864"/>
        <c:axId val="132660392"/>
      </c:barChart>
      <c:catAx>
        <c:axId val="13265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0392"/>
        <c:crosses val="autoZero"/>
        <c:auto val="1"/>
        <c:lblAlgn val="ctr"/>
        <c:lblOffset val="100"/>
        <c:noMultiLvlLbl val="0"/>
      </c:catAx>
      <c:valAx>
        <c:axId val="13266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5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BE-4B06-BC3E-632DACA53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60000"/>
        <c:axId val="132661960"/>
      </c:scatterChart>
      <c:valAx>
        <c:axId val="1326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1960"/>
        <c:crosses val="autoZero"/>
        <c:crossBetween val="midCat"/>
      </c:valAx>
      <c:valAx>
        <c:axId val="13266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E-4B3D-A775-F500DA6A47A9}"/>
            </c:ext>
          </c:extLst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E-4B3D-A775-F500DA6A47A9}"/>
            </c:ext>
          </c:extLst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E-4B3D-A775-F500DA6A4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663136"/>
        <c:axId val="132661568"/>
      </c:barChart>
      <c:catAx>
        <c:axId val="13266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1568"/>
        <c:crosses val="autoZero"/>
        <c:auto val="1"/>
        <c:lblAlgn val="ctr"/>
        <c:lblOffset val="100"/>
        <c:noMultiLvlLbl val="0"/>
      </c:catAx>
      <c:valAx>
        <c:axId val="13266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6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657648"/>
        <c:axId val="132656472"/>
      </c:barChart>
      <c:catAx>
        <c:axId val="13265764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64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32656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76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658040"/>
        <c:axId val="132658432"/>
      </c:barChart>
      <c:catAx>
        <c:axId val="132658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8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2658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580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>
          <a:extLst>
            <a:ext uri="{FF2B5EF4-FFF2-40B4-BE49-F238E27FC236}">
              <a16:creationId xmlns:a16="http://schemas.microsoft.com/office/drawing/2014/main" id="{00000000-0008-0000-0700-000001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>
          <a:extLst>
            <a:ext uri="{FF2B5EF4-FFF2-40B4-BE49-F238E27FC236}">
              <a16:creationId xmlns:a16="http://schemas.microsoft.com/office/drawing/2014/main" id="{00000000-0008-0000-0A00-0000022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C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22</xdr:row>
          <xdr:rowOff>5080</xdr:rowOff>
        </xdr:from>
        <xdr:to>
          <xdr:col>6</xdr:col>
          <xdr:colOff>350520</xdr:colOff>
          <xdr:row>40</xdr:row>
          <xdr:rowOff>116195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C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C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57</xdr:row>
          <xdr:rowOff>241300</xdr:rowOff>
        </xdr:from>
        <xdr:to>
          <xdr:col>6</xdr:col>
          <xdr:colOff>365760</xdr:colOff>
          <xdr:row>58</xdr:row>
          <xdr:rowOff>287020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C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C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C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38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17" t="str">
        <f>"AMOUNT OF FRUIT CONFISCATED AT " &amp; Location &amp; " (kg)"</f>
        <v>AMOUNT OF FRUIT CONFISCATED AT OODLA WIRRA (kg)</v>
      </c>
      <c r="C2" s="318"/>
      <c r="D2" s="318"/>
      <c r="E2" s="318"/>
      <c r="F2" s="318"/>
      <c r="G2" s="318"/>
      <c r="H2" s="318"/>
      <c r="I2" s="318"/>
      <c r="J2" s="319"/>
      <c r="K2" s="319"/>
      <c r="L2" s="320"/>
    </row>
    <row r="3" spans="2:13" ht="16.2" thickBot="1" x14ac:dyDescent="0.35">
      <c r="B3" s="321" t="str">
        <f>Month &amp;  " " &amp; Year</f>
        <v>July 2021</v>
      </c>
      <c r="C3" s="322"/>
      <c r="D3" s="322"/>
      <c r="E3" s="322"/>
      <c r="F3" s="322"/>
      <c r="G3" s="322"/>
      <c r="H3" s="322"/>
      <c r="I3" s="322"/>
      <c r="J3" s="323"/>
      <c r="K3" s="323"/>
      <c r="L3" s="324"/>
    </row>
    <row r="4" spans="2:13" s="50" customFormat="1" ht="49.5" customHeight="1" thickBot="1" x14ac:dyDescent="0.3">
      <c r="B4" s="105" t="s">
        <v>0</v>
      </c>
      <c r="C4" s="105" t="s">
        <v>1</v>
      </c>
      <c r="D4" s="105" t="s">
        <v>2</v>
      </c>
      <c r="E4" s="105" t="s">
        <v>3</v>
      </c>
      <c r="F4" s="105" t="s">
        <v>4</v>
      </c>
      <c r="G4" s="105" t="s">
        <v>5</v>
      </c>
      <c r="H4" s="105" t="s">
        <v>6</v>
      </c>
      <c r="I4" s="106" t="s">
        <v>23</v>
      </c>
      <c r="J4" s="107" t="s">
        <v>45</v>
      </c>
      <c r="K4" s="57" t="s">
        <v>46</v>
      </c>
      <c r="L4" s="105" t="s">
        <v>28</v>
      </c>
    </row>
    <row r="5" spans="2:13" ht="15.6" x14ac:dyDescent="0.3">
      <c r="B5" s="101">
        <v>1</v>
      </c>
      <c r="C5" s="102">
        <v>0</v>
      </c>
      <c r="D5" s="102">
        <v>0</v>
      </c>
      <c r="E5" s="102">
        <v>0</v>
      </c>
      <c r="F5" s="102">
        <v>0</v>
      </c>
      <c r="G5" s="102">
        <v>0</v>
      </c>
      <c r="H5" s="102">
        <v>0</v>
      </c>
      <c r="I5" s="103">
        <f>SUM(C5:H5)</f>
        <v>0</v>
      </c>
      <c r="J5" s="102">
        <v>0</v>
      </c>
      <c r="K5" s="102">
        <v>0</v>
      </c>
      <c r="L5" s="104">
        <f>SUM(J5:K5)</f>
        <v>0</v>
      </c>
      <c r="M5" s="177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97">
        <f t="shared" ref="I6:I35" si="0">SUM(C6:H6)</f>
        <v>0</v>
      </c>
      <c r="J6" s="44">
        <v>0</v>
      </c>
      <c r="K6" s="44">
        <v>0</v>
      </c>
      <c r="L6" s="100">
        <f t="shared" ref="L6:L35" si="1">SUM(J6:K6)</f>
        <v>0</v>
      </c>
      <c r="M6" s="177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97">
        <f t="shared" si="0"/>
        <v>0</v>
      </c>
      <c r="J7" s="44">
        <v>0</v>
      </c>
      <c r="K7" s="44">
        <v>0</v>
      </c>
      <c r="L7" s="100">
        <f t="shared" si="1"/>
        <v>0</v>
      </c>
      <c r="M7" s="177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97">
        <f t="shared" si="0"/>
        <v>0</v>
      </c>
      <c r="J8" s="44">
        <v>0</v>
      </c>
      <c r="K8" s="44">
        <v>0</v>
      </c>
      <c r="L8" s="100">
        <f t="shared" si="1"/>
        <v>0</v>
      </c>
      <c r="M8" s="177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97">
        <f t="shared" si="0"/>
        <v>0</v>
      </c>
      <c r="J9" s="44">
        <v>0</v>
      </c>
      <c r="K9" s="44">
        <v>0</v>
      </c>
      <c r="L9" s="100">
        <f t="shared" si="1"/>
        <v>0</v>
      </c>
      <c r="M9" s="177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97">
        <f t="shared" si="0"/>
        <v>0</v>
      </c>
      <c r="J10" s="44">
        <v>0</v>
      </c>
      <c r="K10" s="44">
        <v>0</v>
      </c>
      <c r="L10" s="100">
        <f t="shared" si="1"/>
        <v>0</v>
      </c>
      <c r="M10" s="177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97">
        <f t="shared" si="0"/>
        <v>0</v>
      </c>
      <c r="J11" s="44">
        <v>0</v>
      </c>
      <c r="K11" s="44">
        <v>0</v>
      </c>
      <c r="L11" s="100">
        <f t="shared" si="1"/>
        <v>0</v>
      </c>
      <c r="M11" s="177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97">
        <f t="shared" si="0"/>
        <v>0</v>
      </c>
      <c r="J12" s="44">
        <v>0</v>
      </c>
      <c r="K12" s="44">
        <v>0</v>
      </c>
      <c r="L12" s="100">
        <f t="shared" si="1"/>
        <v>0</v>
      </c>
      <c r="M12" s="177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97">
        <f t="shared" si="0"/>
        <v>0</v>
      </c>
      <c r="J13" s="44">
        <v>0</v>
      </c>
      <c r="K13" s="44">
        <v>0</v>
      </c>
      <c r="L13" s="100">
        <f t="shared" si="1"/>
        <v>0</v>
      </c>
      <c r="M13" s="177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97">
        <f t="shared" si="0"/>
        <v>0</v>
      </c>
      <c r="J14" s="44">
        <v>0</v>
      </c>
      <c r="K14" s="44">
        <v>0</v>
      </c>
      <c r="L14" s="100">
        <f t="shared" si="1"/>
        <v>0</v>
      </c>
      <c r="M14" s="177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97">
        <f t="shared" si="0"/>
        <v>0</v>
      </c>
      <c r="J15" s="44">
        <v>0</v>
      </c>
      <c r="K15" s="44">
        <v>0</v>
      </c>
      <c r="L15" s="100">
        <f t="shared" si="1"/>
        <v>0</v>
      </c>
      <c r="M15" s="177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97">
        <f t="shared" si="0"/>
        <v>0</v>
      </c>
      <c r="J16" s="44">
        <v>0</v>
      </c>
      <c r="K16" s="44">
        <v>0</v>
      </c>
      <c r="L16" s="100">
        <f t="shared" si="1"/>
        <v>0</v>
      </c>
      <c r="M16" s="177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97">
        <f t="shared" si="0"/>
        <v>0</v>
      </c>
      <c r="J17" s="44">
        <v>0</v>
      </c>
      <c r="K17" s="44">
        <v>0</v>
      </c>
      <c r="L17" s="100">
        <f t="shared" si="1"/>
        <v>0</v>
      </c>
      <c r="M17" s="177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97">
        <f t="shared" si="0"/>
        <v>0</v>
      </c>
      <c r="J18" s="44">
        <v>0</v>
      </c>
      <c r="K18" s="44">
        <v>0</v>
      </c>
      <c r="L18" s="100">
        <f t="shared" si="1"/>
        <v>0</v>
      </c>
      <c r="M18" s="177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97">
        <f t="shared" si="0"/>
        <v>0</v>
      </c>
      <c r="J19" s="44">
        <v>0</v>
      </c>
      <c r="K19" s="44">
        <v>0</v>
      </c>
      <c r="L19" s="100">
        <f t="shared" si="1"/>
        <v>0</v>
      </c>
      <c r="M19" s="177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97">
        <f t="shared" si="0"/>
        <v>0</v>
      </c>
      <c r="J20" s="44">
        <v>0</v>
      </c>
      <c r="K20" s="44">
        <v>0</v>
      </c>
      <c r="L20" s="100">
        <f t="shared" si="1"/>
        <v>0</v>
      </c>
      <c r="M20" s="177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97">
        <f t="shared" si="0"/>
        <v>0</v>
      </c>
      <c r="J21" s="44">
        <v>0</v>
      </c>
      <c r="K21" s="44">
        <v>0</v>
      </c>
      <c r="L21" s="100">
        <f t="shared" si="1"/>
        <v>0</v>
      </c>
      <c r="M21" s="177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97">
        <f t="shared" si="0"/>
        <v>0</v>
      </c>
      <c r="J22" s="44">
        <v>0</v>
      </c>
      <c r="K22" s="44">
        <v>0</v>
      </c>
      <c r="L22" s="100">
        <f t="shared" si="1"/>
        <v>0</v>
      </c>
      <c r="M22" s="177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97">
        <f t="shared" si="0"/>
        <v>0</v>
      </c>
      <c r="J23" s="44">
        <v>0</v>
      </c>
      <c r="K23" s="44">
        <v>0</v>
      </c>
      <c r="L23" s="100">
        <f t="shared" si="1"/>
        <v>0</v>
      </c>
      <c r="M23" s="177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97">
        <f t="shared" si="0"/>
        <v>0</v>
      </c>
      <c r="J24" s="44">
        <v>0</v>
      </c>
      <c r="K24" s="44">
        <v>0</v>
      </c>
      <c r="L24" s="100">
        <f t="shared" si="1"/>
        <v>0</v>
      </c>
      <c r="M24" s="177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97">
        <f t="shared" si="0"/>
        <v>0</v>
      </c>
      <c r="J25" s="44">
        <v>0</v>
      </c>
      <c r="K25" s="44">
        <v>0</v>
      </c>
      <c r="L25" s="100">
        <f t="shared" si="1"/>
        <v>0</v>
      </c>
      <c r="M25" s="177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97">
        <f t="shared" si="0"/>
        <v>0</v>
      </c>
      <c r="J26" s="44">
        <v>0</v>
      </c>
      <c r="K26" s="44">
        <v>0</v>
      </c>
      <c r="L26" s="100">
        <f t="shared" si="1"/>
        <v>0</v>
      </c>
      <c r="M26" s="177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97">
        <f t="shared" si="0"/>
        <v>0</v>
      </c>
      <c r="J27" s="44">
        <v>0</v>
      </c>
      <c r="K27" s="44">
        <v>0</v>
      </c>
      <c r="L27" s="100">
        <f t="shared" si="1"/>
        <v>0</v>
      </c>
      <c r="M27" s="177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97">
        <f t="shared" si="0"/>
        <v>0</v>
      </c>
      <c r="J28" s="44">
        <v>0</v>
      </c>
      <c r="K28" s="44">
        <v>0</v>
      </c>
      <c r="L28" s="100">
        <f t="shared" si="1"/>
        <v>0</v>
      </c>
      <c r="M28" s="177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97">
        <f t="shared" si="0"/>
        <v>0</v>
      </c>
      <c r="J29" s="44">
        <v>0</v>
      </c>
      <c r="K29" s="44">
        <v>0</v>
      </c>
      <c r="L29" s="100">
        <f t="shared" si="1"/>
        <v>0</v>
      </c>
      <c r="M29" s="177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97">
        <f t="shared" si="0"/>
        <v>0</v>
      </c>
      <c r="J30" s="44">
        <v>0</v>
      </c>
      <c r="K30" s="44">
        <v>0</v>
      </c>
      <c r="L30" s="100">
        <f t="shared" si="1"/>
        <v>0</v>
      </c>
      <c r="M30" s="177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97">
        <f t="shared" si="0"/>
        <v>0</v>
      </c>
      <c r="J31" s="44">
        <v>0</v>
      </c>
      <c r="K31" s="44">
        <v>0</v>
      </c>
      <c r="L31" s="100">
        <f t="shared" si="1"/>
        <v>0</v>
      </c>
      <c r="M31" s="177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97">
        <f t="shared" si="0"/>
        <v>0</v>
      </c>
      <c r="J32" s="44">
        <v>0</v>
      </c>
      <c r="K32" s="44">
        <v>0</v>
      </c>
      <c r="L32" s="100">
        <f t="shared" si="1"/>
        <v>0</v>
      </c>
      <c r="M32" s="177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97">
        <f t="shared" si="0"/>
        <v>0</v>
      </c>
      <c r="J33" s="44">
        <v>0</v>
      </c>
      <c r="K33" s="44">
        <v>0</v>
      </c>
      <c r="L33" s="100">
        <f t="shared" si="1"/>
        <v>0</v>
      </c>
      <c r="M33" s="177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97">
        <f t="shared" si="0"/>
        <v>0</v>
      </c>
      <c r="J34" s="44">
        <v>0</v>
      </c>
      <c r="K34" s="44">
        <v>0</v>
      </c>
      <c r="L34" s="100">
        <f t="shared" si="1"/>
        <v>0</v>
      </c>
      <c r="M34" s="177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98">
        <f t="shared" si="0"/>
        <v>0</v>
      </c>
      <c r="J35" s="46">
        <v>0</v>
      </c>
      <c r="K35" s="46">
        <v>0</v>
      </c>
      <c r="L35" s="63">
        <f t="shared" si="1"/>
        <v>0</v>
      </c>
      <c r="M35" s="177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99">
        <f>SUM(L5:L35)</f>
        <v>0</v>
      </c>
    </row>
    <row r="37" spans="2:13" ht="15.6" x14ac:dyDescent="0.3">
      <c r="C37" s="7"/>
      <c r="D37" s="7"/>
      <c r="E37" s="7"/>
      <c r="F37" s="7"/>
      <c r="G37" s="7"/>
      <c r="H37" s="7"/>
      <c r="I37" s="7"/>
      <c r="J37" s="7"/>
      <c r="K37" s="7"/>
      <c r="L37" s="5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4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25" t="str">
        <f>"COMMERCIAL VEHICLES PASSING THROUGH " &amp; Location</f>
        <v>COMMERCIAL VEHICLES PASSING THROUGH OODLA WIRRA</v>
      </c>
      <c r="C2" s="326"/>
      <c r="D2" s="326"/>
      <c r="E2" s="326"/>
      <c r="F2" s="326"/>
      <c r="G2" s="326"/>
      <c r="H2" s="326"/>
      <c r="I2" s="327"/>
    </row>
    <row r="3" spans="2:9" ht="22.95" customHeight="1" thickBot="1" x14ac:dyDescent="0.3">
      <c r="B3" s="328" t="str">
        <f>Month &amp; " " &amp; Year</f>
        <v>July 2021</v>
      </c>
      <c r="C3" s="329"/>
      <c r="D3" s="329"/>
      <c r="E3" s="329"/>
      <c r="F3" s="329"/>
      <c r="G3" s="329"/>
      <c r="H3" s="329"/>
      <c r="I3" s="330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31" t="str">
        <f xml:space="preserve"> "CARS PASSING THROUGH " &amp; Location</f>
        <v>CARS PASSING THROUGH OODLA WIRRA</v>
      </c>
      <c r="C2" s="332"/>
      <c r="D2" s="332"/>
      <c r="E2" s="332"/>
      <c r="F2" s="332"/>
      <c r="G2" s="332"/>
      <c r="H2" s="332"/>
      <c r="I2" s="333"/>
    </row>
    <row r="3" spans="2:9" ht="18" thickBot="1" x14ac:dyDescent="0.3">
      <c r="B3" s="334" t="str">
        <f>Month &amp; " " &amp; Year</f>
        <v>July 2021</v>
      </c>
      <c r="C3" s="335"/>
      <c r="D3" s="335"/>
      <c r="E3" s="335"/>
      <c r="F3" s="335"/>
      <c r="G3" s="335"/>
      <c r="H3" s="335"/>
      <c r="I3" s="336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34" t="e">
        <f>#REF!&amp; " " &amp;#REF!</f>
        <v>#REF!</v>
      </c>
      <c r="B2" s="335"/>
      <c r="C2" s="335"/>
      <c r="D2" s="335"/>
      <c r="E2" s="335"/>
      <c r="F2" s="335"/>
      <c r="G2" s="335"/>
      <c r="H2" s="336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31" t="str">
        <f xml:space="preserve"> "CARAVANS &amp; CAMPERS PASSING THROUGH " &amp; Location</f>
        <v>CARAVANS &amp; CAMPERS PASSING THROUGH OODLA WIRRA</v>
      </c>
      <c r="C2" s="332"/>
      <c r="D2" s="332"/>
      <c r="E2" s="332"/>
      <c r="F2" s="332"/>
      <c r="G2" s="332"/>
      <c r="H2" s="332"/>
      <c r="I2" s="333"/>
    </row>
    <row r="3" spans="2:9" ht="18" thickBot="1" x14ac:dyDescent="0.3">
      <c r="B3" s="334" t="str">
        <f>Month &amp; " " &amp; Year</f>
        <v>July 2021</v>
      </c>
      <c r="C3" s="335"/>
      <c r="D3" s="335"/>
      <c r="E3" s="335"/>
      <c r="F3" s="335"/>
      <c r="G3" s="335"/>
      <c r="H3" s="335"/>
      <c r="I3" s="336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31" t="str">
        <f>"VEHICLES PASSING THROUGH " &amp; Location &amp; " - MIDNIGHT SHIFT "</f>
        <v xml:space="preserve">VEHICLES PASSING THROUGH OODLA WIRRA - MIDNIGHT SHIFT </v>
      </c>
      <c r="C2" s="318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37"/>
    </row>
    <row r="3" spans="2:14" ht="16.2" thickBot="1" x14ac:dyDescent="0.3">
      <c r="B3" s="328" t="str">
        <f>Month &amp; " " &amp; Year</f>
        <v>July 2021</v>
      </c>
      <c r="C3" s="329"/>
      <c r="D3" s="329"/>
      <c r="E3" s="329"/>
      <c r="F3" s="329"/>
      <c r="G3" s="329"/>
      <c r="H3" s="329"/>
      <c r="I3" s="329"/>
      <c r="J3" s="329"/>
      <c r="K3" s="329"/>
      <c r="L3" s="329"/>
      <c r="M3" s="329"/>
      <c r="N3" s="330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75" t="s">
        <v>111</v>
      </c>
      <c r="J4" s="175" t="s">
        <v>110</v>
      </c>
      <c r="K4" s="175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279">
        <v>0</v>
      </c>
      <c r="I5" s="284">
        <f t="shared" ref="I5:I35" si="0">SUM(C5:H5)</f>
        <v>0</v>
      </c>
      <c r="J5" s="282">
        <v>0</v>
      </c>
      <c r="K5" s="41">
        <v>0</v>
      </c>
      <c r="L5" s="41">
        <v>0</v>
      </c>
      <c r="M5" s="282">
        <v>0</v>
      </c>
      <c r="N5" s="51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280">
        <v>0</v>
      </c>
      <c r="I6" s="285">
        <f t="shared" si="0"/>
        <v>0</v>
      </c>
      <c r="J6" s="283">
        <v>0</v>
      </c>
      <c r="K6" s="44">
        <v>0</v>
      </c>
      <c r="L6" s="278">
        <v>0</v>
      </c>
      <c r="M6" s="283">
        <v>0</v>
      </c>
      <c r="N6" s="52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280">
        <v>0</v>
      </c>
      <c r="I7" s="285">
        <f t="shared" si="0"/>
        <v>0</v>
      </c>
      <c r="J7" s="283">
        <v>0</v>
      </c>
      <c r="K7" s="44">
        <v>0</v>
      </c>
      <c r="L7" s="278">
        <v>0</v>
      </c>
      <c r="M7" s="283">
        <v>0</v>
      </c>
      <c r="N7" s="52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280">
        <v>0</v>
      </c>
      <c r="I8" s="285">
        <f t="shared" si="0"/>
        <v>0</v>
      </c>
      <c r="J8" s="283">
        <v>0</v>
      </c>
      <c r="K8" s="44">
        <v>0</v>
      </c>
      <c r="L8" s="278">
        <v>0</v>
      </c>
      <c r="M8" s="283">
        <v>0</v>
      </c>
      <c r="N8" s="52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280">
        <v>0</v>
      </c>
      <c r="I9" s="285">
        <f t="shared" si="0"/>
        <v>0</v>
      </c>
      <c r="J9" s="283">
        <v>0</v>
      </c>
      <c r="K9" s="44">
        <v>0</v>
      </c>
      <c r="L9" s="278">
        <v>0</v>
      </c>
      <c r="M9" s="283">
        <v>0</v>
      </c>
      <c r="N9" s="52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280">
        <v>0</v>
      </c>
      <c r="I10" s="285">
        <f t="shared" si="0"/>
        <v>0</v>
      </c>
      <c r="J10" s="283">
        <v>0</v>
      </c>
      <c r="K10" s="44">
        <v>0</v>
      </c>
      <c r="L10" s="278">
        <v>0</v>
      </c>
      <c r="M10" s="283">
        <v>0</v>
      </c>
      <c r="N10" s="52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280">
        <v>0</v>
      </c>
      <c r="I11" s="285">
        <f t="shared" si="0"/>
        <v>0</v>
      </c>
      <c r="J11" s="283">
        <v>0</v>
      </c>
      <c r="K11" s="44">
        <v>0</v>
      </c>
      <c r="L11" s="278">
        <v>0</v>
      </c>
      <c r="M11" s="283">
        <v>0</v>
      </c>
      <c r="N11" s="52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280">
        <v>0</v>
      </c>
      <c r="I12" s="285">
        <f t="shared" si="0"/>
        <v>0</v>
      </c>
      <c r="J12" s="283">
        <v>0</v>
      </c>
      <c r="K12" s="44">
        <v>0</v>
      </c>
      <c r="L12" s="278">
        <v>0</v>
      </c>
      <c r="M12" s="283">
        <v>0</v>
      </c>
      <c r="N12" s="52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280">
        <v>0</v>
      </c>
      <c r="I13" s="285">
        <f t="shared" si="0"/>
        <v>0</v>
      </c>
      <c r="J13" s="283">
        <v>0</v>
      </c>
      <c r="K13" s="44">
        <v>0</v>
      </c>
      <c r="L13" s="278">
        <v>0</v>
      </c>
      <c r="M13" s="283">
        <v>0</v>
      </c>
      <c r="N13" s="52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280">
        <v>0</v>
      </c>
      <c r="I14" s="285">
        <f t="shared" si="0"/>
        <v>0</v>
      </c>
      <c r="J14" s="283">
        <v>0</v>
      </c>
      <c r="K14" s="44">
        <v>0</v>
      </c>
      <c r="L14" s="278">
        <v>0</v>
      </c>
      <c r="M14" s="283">
        <v>0</v>
      </c>
      <c r="N14" s="52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280">
        <v>0</v>
      </c>
      <c r="I15" s="285">
        <f t="shared" si="0"/>
        <v>0</v>
      </c>
      <c r="J15" s="283">
        <v>0</v>
      </c>
      <c r="K15" s="44">
        <v>0</v>
      </c>
      <c r="L15" s="278">
        <v>0</v>
      </c>
      <c r="M15" s="283">
        <v>0</v>
      </c>
      <c r="N15" s="52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280">
        <v>0</v>
      </c>
      <c r="I16" s="285">
        <f t="shared" si="0"/>
        <v>0</v>
      </c>
      <c r="J16" s="283">
        <v>0</v>
      </c>
      <c r="K16" s="44">
        <v>0</v>
      </c>
      <c r="L16" s="278">
        <v>0</v>
      </c>
      <c r="M16" s="283">
        <v>0</v>
      </c>
      <c r="N16" s="52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280">
        <v>0</v>
      </c>
      <c r="I17" s="285">
        <f t="shared" si="0"/>
        <v>0</v>
      </c>
      <c r="J17" s="283">
        <v>0</v>
      </c>
      <c r="K17" s="44">
        <v>0</v>
      </c>
      <c r="L17" s="278">
        <v>0</v>
      </c>
      <c r="M17" s="283">
        <v>0</v>
      </c>
      <c r="N17" s="52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280">
        <v>0</v>
      </c>
      <c r="I18" s="285">
        <f t="shared" si="0"/>
        <v>0</v>
      </c>
      <c r="J18" s="283">
        <v>0</v>
      </c>
      <c r="K18" s="44">
        <v>0</v>
      </c>
      <c r="L18" s="278">
        <v>0</v>
      </c>
      <c r="M18" s="283">
        <v>0</v>
      </c>
      <c r="N18" s="52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280">
        <v>0</v>
      </c>
      <c r="I19" s="285">
        <f t="shared" si="0"/>
        <v>0</v>
      </c>
      <c r="J19" s="283">
        <v>0</v>
      </c>
      <c r="K19" s="44">
        <v>0</v>
      </c>
      <c r="L19" s="278">
        <v>0</v>
      </c>
      <c r="M19" s="283">
        <v>0</v>
      </c>
      <c r="N19" s="52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280">
        <v>0</v>
      </c>
      <c r="I20" s="285">
        <f t="shared" si="0"/>
        <v>0</v>
      </c>
      <c r="J20" s="283">
        <v>0</v>
      </c>
      <c r="K20" s="44">
        <v>0</v>
      </c>
      <c r="L20" s="278">
        <v>0</v>
      </c>
      <c r="M20" s="283">
        <v>0</v>
      </c>
      <c r="N20" s="52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280">
        <v>0</v>
      </c>
      <c r="I21" s="285">
        <f t="shared" si="0"/>
        <v>0</v>
      </c>
      <c r="J21" s="283">
        <v>0</v>
      </c>
      <c r="K21" s="44">
        <v>0</v>
      </c>
      <c r="L21" s="278">
        <v>0</v>
      </c>
      <c r="M21" s="283">
        <v>0</v>
      </c>
      <c r="N21" s="52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280">
        <v>0</v>
      </c>
      <c r="I22" s="285">
        <f t="shared" si="0"/>
        <v>0</v>
      </c>
      <c r="J22" s="283">
        <v>0</v>
      </c>
      <c r="K22" s="44">
        <v>0</v>
      </c>
      <c r="L22" s="278">
        <v>0</v>
      </c>
      <c r="M22" s="283">
        <v>0</v>
      </c>
      <c r="N22" s="52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280">
        <v>0</v>
      </c>
      <c r="I23" s="285">
        <f t="shared" si="0"/>
        <v>0</v>
      </c>
      <c r="J23" s="283">
        <v>0</v>
      </c>
      <c r="K23" s="44">
        <v>0</v>
      </c>
      <c r="L23" s="278">
        <v>0</v>
      </c>
      <c r="M23" s="283">
        <v>0</v>
      </c>
      <c r="N23" s="52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280">
        <v>0</v>
      </c>
      <c r="I24" s="285">
        <f t="shared" si="0"/>
        <v>0</v>
      </c>
      <c r="J24" s="283">
        <v>0</v>
      </c>
      <c r="K24" s="44">
        <v>0</v>
      </c>
      <c r="L24" s="278">
        <v>0</v>
      </c>
      <c r="M24" s="283">
        <v>0</v>
      </c>
      <c r="N24" s="52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280">
        <v>0</v>
      </c>
      <c r="I25" s="285">
        <f t="shared" si="0"/>
        <v>0</v>
      </c>
      <c r="J25" s="283">
        <v>0</v>
      </c>
      <c r="K25" s="44">
        <v>0</v>
      </c>
      <c r="L25" s="278">
        <v>0</v>
      </c>
      <c r="M25" s="283">
        <v>0</v>
      </c>
      <c r="N25" s="52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280">
        <v>0</v>
      </c>
      <c r="I26" s="285">
        <f t="shared" si="0"/>
        <v>0</v>
      </c>
      <c r="J26" s="283">
        <v>0</v>
      </c>
      <c r="K26" s="44">
        <v>0</v>
      </c>
      <c r="L26" s="278">
        <v>0</v>
      </c>
      <c r="M26" s="283">
        <v>0</v>
      </c>
      <c r="N26" s="52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280">
        <v>0</v>
      </c>
      <c r="I27" s="285">
        <f t="shared" si="0"/>
        <v>0</v>
      </c>
      <c r="J27" s="283">
        <v>0</v>
      </c>
      <c r="K27" s="44">
        <v>0</v>
      </c>
      <c r="L27" s="278">
        <v>0</v>
      </c>
      <c r="M27" s="283">
        <v>0</v>
      </c>
      <c r="N27" s="52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280">
        <v>0</v>
      </c>
      <c r="I28" s="285">
        <f t="shared" si="0"/>
        <v>0</v>
      </c>
      <c r="J28" s="283">
        <v>0</v>
      </c>
      <c r="K28" s="44">
        <v>0</v>
      </c>
      <c r="L28" s="278">
        <v>0</v>
      </c>
      <c r="M28" s="283">
        <v>0</v>
      </c>
      <c r="N28" s="52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280">
        <v>0</v>
      </c>
      <c r="I29" s="285">
        <f t="shared" si="0"/>
        <v>0</v>
      </c>
      <c r="J29" s="283">
        <v>0</v>
      </c>
      <c r="K29" s="44">
        <v>0</v>
      </c>
      <c r="L29" s="278">
        <v>0</v>
      </c>
      <c r="M29" s="283">
        <v>0</v>
      </c>
      <c r="N29" s="52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280">
        <v>0</v>
      </c>
      <c r="I30" s="285">
        <f t="shared" si="0"/>
        <v>0</v>
      </c>
      <c r="J30" s="283">
        <v>0</v>
      </c>
      <c r="K30" s="44">
        <v>0</v>
      </c>
      <c r="L30" s="278">
        <v>0</v>
      </c>
      <c r="M30" s="283">
        <v>0</v>
      </c>
      <c r="N30" s="52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280">
        <v>0</v>
      </c>
      <c r="I31" s="285">
        <f t="shared" si="0"/>
        <v>0</v>
      </c>
      <c r="J31" s="283">
        <v>0</v>
      </c>
      <c r="K31" s="44">
        <v>0</v>
      </c>
      <c r="L31" s="278">
        <v>0</v>
      </c>
      <c r="M31" s="283">
        <v>0</v>
      </c>
      <c r="N31" s="52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280">
        <v>0</v>
      </c>
      <c r="I32" s="285">
        <f t="shared" si="0"/>
        <v>0</v>
      </c>
      <c r="J32" s="283">
        <v>0</v>
      </c>
      <c r="K32" s="44">
        <v>0</v>
      </c>
      <c r="L32" s="278">
        <v>0</v>
      </c>
      <c r="M32" s="283">
        <v>0</v>
      </c>
      <c r="N32" s="52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280">
        <v>0</v>
      </c>
      <c r="I33" s="285">
        <f t="shared" si="0"/>
        <v>0</v>
      </c>
      <c r="J33" s="283">
        <v>0</v>
      </c>
      <c r="K33" s="44">
        <v>0</v>
      </c>
      <c r="L33" s="278">
        <v>0</v>
      </c>
      <c r="M33" s="283">
        <v>0</v>
      </c>
      <c r="N33" s="52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280">
        <v>0</v>
      </c>
      <c r="I34" s="285">
        <f t="shared" si="0"/>
        <v>0</v>
      </c>
      <c r="J34" s="283">
        <v>0</v>
      </c>
      <c r="K34" s="44">
        <v>0</v>
      </c>
      <c r="L34" s="278">
        <v>0</v>
      </c>
      <c r="M34" s="283">
        <v>0</v>
      </c>
      <c r="N34" s="52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281">
        <v>0</v>
      </c>
      <c r="I35" s="286">
        <f t="shared" si="0"/>
        <v>0</v>
      </c>
      <c r="J35" s="283">
        <v>0</v>
      </c>
      <c r="K35" s="46">
        <v>0</v>
      </c>
      <c r="L35" s="46">
        <v>0</v>
      </c>
      <c r="M35" s="287">
        <v>0</v>
      </c>
      <c r="N35" s="53">
        <v>0</v>
      </c>
    </row>
    <row r="36" spans="2:14" x14ac:dyDescent="0.25">
      <c r="B36" s="4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2"/>
    </row>
    <row r="37" spans="2:14" ht="15.6" thickBot="1" x14ac:dyDescent="0.3">
      <c r="B37" s="54" t="s">
        <v>7</v>
      </c>
      <c r="C37" s="61">
        <f t="shared" ref="C37:L37" si="1">SUM(C5:C35)</f>
        <v>0</v>
      </c>
      <c r="D37" s="61">
        <f t="shared" si="1"/>
        <v>0</v>
      </c>
      <c r="E37" s="61">
        <f t="shared" si="1"/>
        <v>0</v>
      </c>
      <c r="F37" s="61">
        <f t="shared" si="1"/>
        <v>0</v>
      </c>
      <c r="G37" s="61">
        <f t="shared" si="1"/>
        <v>0</v>
      </c>
      <c r="H37" s="61">
        <f t="shared" si="1"/>
        <v>0</v>
      </c>
      <c r="I37" s="61">
        <f t="shared" si="1"/>
        <v>0</v>
      </c>
      <c r="J37" s="61"/>
      <c r="K37" s="61">
        <f t="shared" si="1"/>
        <v>0</v>
      </c>
      <c r="L37" s="61">
        <f t="shared" si="1"/>
        <v>0</v>
      </c>
      <c r="M37" s="61">
        <f>SUM(M5:M35)</f>
        <v>0</v>
      </c>
      <c r="N37" s="63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5" t="e">
        <f t="shared" ref="C39:L39" si="2">+C37/$I$37%</f>
        <v>#DIV/0!</v>
      </c>
      <c r="D39" s="55" t="e">
        <f t="shared" si="2"/>
        <v>#DIV/0!</v>
      </c>
      <c r="E39" s="55" t="e">
        <f t="shared" si="2"/>
        <v>#DIV/0!</v>
      </c>
      <c r="F39" s="55" t="e">
        <f t="shared" si="2"/>
        <v>#DIV/0!</v>
      </c>
      <c r="G39" s="55" t="e">
        <f t="shared" si="2"/>
        <v>#DIV/0!</v>
      </c>
      <c r="H39" s="55" t="e">
        <f t="shared" si="2"/>
        <v>#DIV/0!</v>
      </c>
      <c r="I39" s="55" t="e">
        <f>SUM(C39+D39+E39+F39+G39+H39)</f>
        <v>#DIV/0!</v>
      </c>
      <c r="J39" s="55"/>
      <c r="K39" s="55" t="e">
        <f t="shared" si="2"/>
        <v>#DIV/0!</v>
      </c>
      <c r="L39" s="55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ShiftStats"/>
  <dimension ref="B2:N65"/>
  <sheetViews>
    <sheetView showGridLines="0" showRowColHeaders="0" topLeftCell="A5" zoomScaleNormal="100" workbookViewId="0">
      <selection activeCell="F5" sqref="F5:H35"/>
    </sheetView>
  </sheetViews>
  <sheetFormatPr defaultRowHeight="13.2" x14ac:dyDescent="0.25"/>
  <cols>
    <col min="1" max="1" width="2.88671875" customWidth="1"/>
    <col min="2" max="2" width="4.44140625" style="31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2:14" ht="13.8" thickBot="1" x14ac:dyDescent="0.3"/>
    <row r="3" spans="2:14" ht="42.75" customHeight="1" thickBot="1" x14ac:dyDescent="0.3">
      <c r="C3" s="347" t="str">
        <f>Location&amp;" - Traffic Volumes per Shift - "&amp; Month &amp; " " &amp; Year</f>
        <v>OODLA WIRRA - Traffic Volumes per Shift - July 2021</v>
      </c>
      <c r="D3" s="348"/>
      <c r="E3" s="348"/>
      <c r="F3" s="348"/>
      <c r="G3" s="348"/>
      <c r="H3" s="349"/>
      <c r="J3" s="344" t="s">
        <v>119</v>
      </c>
      <c r="K3" s="345"/>
      <c r="L3" s="345"/>
      <c r="M3" s="345"/>
      <c r="N3" s="346"/>
    </row>
    <row r="4" spans="2:14" ht="18" thickBot="1" x14ac:dyDescent="0.3">
      <c r="C4" s="241" t="s">
        <v>12</v>
      </c>
      <c r="D4" s="241" t="s">
        <v>102</v>
      </c>
      <c r="E4" s="242" t="s">
        <v>101</v>
      </c>
      <c r="F4" s="242" t="s">
        <v>12</v>
      </c>
      <c r="G4" s="242" t="s">
        <v>13</v>
      </c>
      <c r="H4" s="243" t="s">
        <v>28</v>
      </c>
      <c r="J4" s="292"/>
      <c r="K4" s="293" t="s">
        <v>101</v>
      </c>
      <c r="L4" s="293" t="s">
        <v>12</v>
      </c>
      <c r="M4" s="293" t="s">
        <v>13</v>
      </c>
      <c r="N4" s="294" t="s">
        <v>28</v>
      </c>
    </row>
    <row r="5" spans="2:14" ht="15" x14ac:dyDescent="0.25">
      <c r="B5" s="316" t="str">
        <f t="shared" ref="B5:B35" si="0">TEXT(DATE(Year,MONTH(1&amp;Month),DateShiftStats),"dddd")</f>
        <v>Thursday</v>
      </c>
      <c r="C5" s="312">
        <v>1</v>
      </c>
      <c r="D5" s="314">
        <f t="shared" ref="D5:D35" si="1">(DATE(Year,MONTH(1&amp;Month),DateShiftStats))</f>
        <v>44378</v>
      </c>
      <c r="E5" s="247">
        <v>0</v>
      </c>
      <c r="F5" s="248">
        <v>0</v>
      </c>
      <c r="G5" s="249">
        <v>0</v>
      </c>
      <c r="H5" s="244">
        <f>SUM(E5:G5)</f>
        <v>0</v>
      </c>
      <c r="I5" s="316">
        <f>'Commercial Vehicles'!I5+Cars!I5+Caravans!I5</f>
        <v>0</v>
      </c>
      <c r="J5" s="289" t="s">
        <v>112</v>
      </c>
      <c r="K5" s="295">
        <f>SUMIF($B$5:$B$35,$J5,E$5:E$35)</f>
        <v>0</v>
      </c>
      <c r="L5" s="295">
        <f t="shared" ref="L5:M5" si="2">SUMIF($B$5:$B$35,$J5,F$5:F$35)</f>
        <v>0</v>
      </c>
      <c r="M5" s="295">
        <f t="shared" si="2"/>
        <v>0</v>
      </c>
      <c r="N5" s="296">
        <f>SUM(K5:M5)</f>
        <v>0</v>
      </c>
    </row>
    <row r="6" spans="2:14" ht="15" x14ac:dyDescent="0.25">
      <c r="B6" s="316" t="str">
        <f t="shared" si="0"/>
        <v>Friday</v>
      </c>
      <c r="C6" s="312">
        <v>2</v>
      </c>
      <c r="D6" s="314">
        <f t="shared" si="1"/>
        <v>44379</v>
      </c>
      <c r="E6" s="250">
        <v>0</v>
      </c>
      <c r="F6" s="239">
        <v>0</v>
      </c>
      <c r="G6" s="251">
        <v>0</v>
      </c>
      <c r="H6" s="245">
        <f t="shared" ref="H6:H35" si="3">SUM(E6:G6)</f>
        <v>0</v>
      </c>
      <c r="I6" s="316">
        <f>'Commercial Vehicles'!I6+Cars!I6+Caravans!I6</f>
        <v>0</v>
      </c>
      <c r="J6" s="288" t="s">
        <v>113</v>
      </c>
      <c r="K6" s="295">
        <f>SUMIF($B$5:$B$35,$J6,E$5:E$35)</f>
        <v>0</v>
      </c>
      <c r="L6" s="295">
        <f t="shared" ref="L6:L10" si="4">SUMIF($B$5:$B$35,$J6,F$5:F$35)</f>
        <v>0</v>
      </c>
      <c r="M6" s="295">
        <f t="shared" ref="M6:M10" si="5">SUMIF($B$5:$B$35,$J6,G$5:G$35)</f>
        <v>0</v>
      </c>
      <c r="N6" s="297">
        <f t="shared" ref="N6:N11" si="6">SUM(K6:M6)</f>
        <v>0</v>
      </c>
    </row>
    <row r="7" spans="2:14" ht="15" x14ac:dyDescent="0.25">
      <c r="B7" s="316" t="str">
        <f t="shared" si="0"/>
        <v>Saturday</v>
      </c>
      <c r="C7" s="312">
        <v>3</v>
      </c>
      <c r="D7" s="314">
        <f t="shared" si="1"/>
        <v>44380</v>
      </c>
      <c r="E7" s="250">
        <v>0</v>
      </c>
      <c r="F7" s="239">
        <v>0</v>
      </c>
      <c r="G7" s="251">
        <v>0</v>
      </c>
      <c r="H7" s="245">
        <f t="shared" si="3"/>
        <v>0</v>
      </c>
      <c r="I7" s="316">
        <f>'Commercial Vehicles'!I7+Cars!I7+Caravans!I7</f>
        <v>0</v>
      </c>
      <c r="J7" s="288" t="s">
        <v>114</v>
      </c>
      <c r="K7" s="295">
        <f t="shared" ref="K7:K10" si="7">SUMIF($B$5:$B$35,$J7,E$5:E$35)</f>
        <v>0</v>
      </c>
      <c r="L7" s="295">
        <f t="shared" si="4"/>
        <v>0</v>
      </c>
      <c r="M7" s="295">
        <f t="shared" si="5"/>
        <v>0</v>
      </c>
      <c r="N7" s="297">
        <f t="shared" si="6"/>
        <v>0</v>
      </c>
    </row>
    <row r="8" spans="2:14" ht="15" x14ac:dyDescent="0.25">
      <c r="B8" s="316" t="str">
        <f t="shared" si="0"/>
        <v>Sunday</v>
      </c>
      <c r="C8" s="312">
        <v>4</v>
      </c>
      <c r="D8" s="314">
        <f t="shared" si="1"/>
        <v>44381</v>
      </c>
      <c r="E8" s="250">
        <v>0</v>
      </c>
      <c r="F8" s="239">
        <v>0</v>
      </c>
      <c r="G8" s="251">
        <v>0</v>
      </c>
      <c r="H8" s="245">
        <f t="shared" si="3"/>
        <v>0</v>
      </c>
      <c r="I8" s="316">
        <f>'Commercial Vehicles'!I8+Cars!I8+Caravans!I8</f>
        <v>0</v>
      </c>
      <c r="J8" s="288" t="s">
        <v>115</v>
      </c>
      <c r="K8" s="295">
        <f t="shared" si="7"/>
        <v>0</v>
      </c>
      <c r="L8" s="295">
        <f t="shared" si="4"/>
        <v>0</v>
      </c>
      <c r="M8" s="295">
        <f t="shared" si="5"/>
        <v>0</v>
      </c>
      <c r="N8" s="297">
        <f t="shared" si="6"/>
        <v>0</v>
      </c>
    </row>
    <row r="9" spans="2:14" ht="15" x14ac:dyDescent="0.25">
      <c r="B9" s="316" t="str">
        <f t="shared" si="0"/>
        <v>Monday</v>
      </c>
      <c r="C9" s="312">
        <v>5</v>
      </c>
      <c r="D9" s="314">
        <f t="shared" si="1"/>
        <v>44382</v>
      </c>
      <c r="E9" s="250">
        <v>0</v>
      </c>
      <c r="F9" s="239">
        <v>0</v>
      </c>
      <c r="G9" s="251">
        <v>0</v>
      </c>
      <c r="H9" s="245">
        <f t="shared" si="3"/>
        <v>0</v>
      </c>
      <c r="I9" s="316">
        <f>'Commercial Vehicles'!I9+Cars!I9+Caravans!I9</f>
        <v>0</v>
      </c>
      <c r="J9" s="288" t="s">
        <v>116</v>
      </c>
      <c r="K9" s="295">
        <f t="shared" si="7"/>
        <v>0</v>
      </c>
      <c r="L9" s="295">
        <f t="shared" si="4"/>
        <v>0</v>
      </c>
      <c r="M9" s="295">
        <f t="shared" si="5"/>
        <v>0</v>
      </c>
      <c r="N9" s="297">
        <f t="shared" si="6"/>
        <v>0</v>
      </c>
    </row>
    <row r="10" spans="2:14" ht="15" x14ac:dyDescent="0.25">
      <c r="B10" s="316" t="str">
        <f t="shared" si="0"/>
        <v>Tuesday</v>
      </c>
      <c r="C10" s="312">
        <v>6</v>
      </c>
      <c r="D10" s="314">
        <f t="shared" si="1"/>
        <v>44383</v>
      </c>
      <c r="E10" s="250">
        <v>0</v>
      </c>
      <c r="F10" s="239">
        <v>0</v>
      </c>
      <c r="G10" s="251">
        <v>0</v>
      </c>
      <c r="H10" s="245">
        <f t="shared" si="3"/>
        <v>0</v>
      </c>
      <c r="I10" s="316">
        <f>'Commercial Vehicles'!I10+Cars!I10+Caravans!I10</f>
        <v>0</v>
      </c>
      <c r="J10" s="288" t="s">
        <v>117</v>
      </c>
      <c r="K10" s="295">
        <f t="shared" si="7"/>
        <v>0</v>
      </c>
      <c r="L10" s="295">
        <f t="shared" si="4"/>
        <v>0</v>
      </c>
      <c r="M10" s="295">
        <f t="shared" si="5"/>
        <v>0</v>
      </c>
      <c r="N10" s="297">
        <f t="shared" si="6"/>
        <v>0</v>
      </c>
    </row>
    <row r="11" spans="2:14" ht="15.6" thickBot="1" x14ac:dyDescent="0.3">
      <c r="B11" s="316" t="str">
        <f t="shared" si="0"/>
        <v>Wednesday</v>
      </c>
      <c r="C11" s="312">
        <v>7</v>
      </c>
      <c r="D11" s="314">
        <f t="shared" si="1"/>
        <v>44384</v>
      </c>
      <c r="E11" s="250">
        <v>0</v>
      </c>
      <c r="F11" s="239">
        <v>0</v>
      </c>
      <c r="G11" s="251">
        <v>0</v>
      </c>
      <c r="H11" s="245">
        <f t="shared" si="3"/>
        <v>0</v>
      </c>
      <c r="I11" s="316">
        <f>'Commercial Vehicles'!I11+Cars!I11+Caravans!I11</f>
        <v>0</v>
      </c>
      <c r="J11" s="290" t="s">
        <v>118</v>
      </c>
      <c r="K11" s="295">
        <f>SUMIF($B$5:$B$35,$J11,E$5:E$35)</f>
        <v>0</v>
      </c>
      <c r="L11" s="295">
        <f>SUMIF($B$5:$B$35,$J11,F$5:F$35)</f>
        <v>0</v>
      </c>
      <c r="M11" s="295">
        <f>SUMIF($B$5:$B$35,$J11,G$5:G$35)</f>
        <v>0</v>
      </c>
      <c r="N11" s="298">
        <f t="shared" si="6"/>
        <v>0</v>
      </c>
    </row>
    <row r="12" spans="2:14" ht="15.6" thickBot="1" x14ac:dyDescent="0.3">
      <c r="B12" s="316" t="str">
        <f t="shared" si="0"/>
        <v>Thursday</v>
      </c>
      <c r="C12" s="312">
        <v>8</v>
      </c>
      <c r="D12" s="314">
        <f t="shared" si="1"/>
        <v>44385</v>
      </c>
      <c r="E12" s="250">
        <v>0</v>
      </c>
      <c r="F12" s="239">
        <v>0</v>
      </c>
      <c r="G12" s="251">
        <v>0</v>
      </c>
      <c r="H12" s="245">
        <f t="shared" si="3"/>
        <v>0</v>
      </c>
      <c r="I12" s="316">
        <f>'Commercial Vehicles'!I12+Cars!I12+Caravans!I12</f>
        <v>0</v>
      </c>
      <c r="J12" s="291" t="s">
        <v>120</v>
      </c>
      <c r="K12" s="299">
        <f>SUM(K5:K11)</f>
        <v>0</v>
      </c>
      <c r="L12" s="300">
        <f t="shared" ref="L12:M12" si="8">SUM(L5:L11)</f>
        <v>0</v>
      </c>
      <c r="M12" s="301">
        <f t="shared" si="8"/>
        <v>0</v>
      </c>
      <c r="N12" s="302">
        <f>SUM(K12:M12)</f>
        <v>0</v>
      </c>
    </row>
    <row r="13" spans="2:14" ht="15" x14ac:dyDescent="0.25">
      <c r="B13" s="316" t="str">
        <f t="shared" si="0"/>
        <v>Friday</v>
      </c>
      <c r="C13" s="312">
        <v>9</v>
      </c>
      <c r="D13" s="314">
        <f t="shared" si="1"/>
        <v>44386</v>
      </c>
      <c r="E13" s="250">
        <v>0</v>
      </c>
      <c r="F13" s="239">
        <v>0</v>
      </c>
      <c r="G13" s="251">
        <v>0</v>
      </c>
      <c r="H13" s="245">
        <f t="shared" si="3"/>
        <v>0</v>
      </c>
      <c r="I13" s="316">
        <f>'Commercial Vehicles'!I13+Cars!I13+Caravans!I13</f>
        <v>0</v>
      </c>
    </row>
    <row r="14" spans="2:14" ht="15" x14ac:dyDescent="0.25">
      <c r="B14" s="316" t="str">
        <f t="shared" si="0"/>
        <v>Saturday</v>
      </c>
      <c r="C14" s="312">
        <v>10</v>
      </c>
      <c r="D14" s="314">
        <f t="shared" si="1"/>
        <v>44387</v>
      </c>
      <c r="E14" s="250">
        <v>0</v>
      </c>
      <c r="F14" s="239">
        <v>0</v>
      </c>
      <c r="G14" s="251">
        <v>0</v>
      </c>
      <c r="H14" s="245">
        <f t="shared" si="3"/>
        <v>0</v>
      </c>
      <c r="I14" s="316">
        <f>'Commercial Vehicles'!I14+Cars!I14+Caravans!I14</f>
        <v>0</v>
      </c>
    </row>
    <row r="15" spans="2:14" ht="15" x14ac:dyDescent="0.25">
      <c r="B15" s="316" t="str">
        <f t="shared" si="0"/>
        <v>Sunday</v>
      </c>
      <c r="C15" s="312">
        <v>11</v>
      </c>
      <c r="D15" s="314">
        <f t="shared" si="1"/>
        <v>44388</v>
      </c>
      <c r="E15" s="250">
        <v>0</v>
      </c>
      <c r="F15" s="239">
        <v>0</v>
      </c>
      <c r="G15" s="251">
        <v>0</v>
      </c>
      <c r="H15" s="245">
        <f t="shared" si="3"/>
        <v>0</v>
      </c>
      <c r="I15" s="316">
        <f>'Commercial Vehicles'!I15+Cars!I15+Caravans!I15</f>
        <v>0</v>
      </c>
    </row>
    <row r="16" spans="2:14" ht="15" x14ac:dyDescent="0.25">
      <c r="B16" s="316" t="str">
        <f t="shared" si="0"/>
        <v>Monday</v>
      </c>
      <c r="C16" s="312">
        <v>12</v>
      </c>
      <c r="D16" s="314">
        <f t="shared" si="1"/>
        <v>44389</v>
      </c>
      <c r="E16" s="250">
        <v>0</v>
      </c>
      <c r="F16" s="239">
        <v>0</v>
      </c>
      <c r="G16" s="251">
        <v>0</v>
      </c>
      <c r="H16" s="245">
        <f t="shared" si="3"/>
        <v>0</v>
      </c>
      <c r="I16" s="316">
        <f>'Commercial Vehicles'!I16+Cars!I16+Caravans!I16</f>
        <v>0</v>
      </c>
    </row>
    <row r="17" spans="2:14" ht="15" x14ac:dyDescent="0.25">
      <c r="B17" s="316" t="str">
        <f t="shared" si="0"/>
        <v>Tuesday</v>
      </c>
      <c r="C17" s="312">
        <v>13</v>
      </c>
      <c r="D17" s="314">
        <f t="shared" si="1"/>
        <v>44390</v>
      </c>
      <c r="E17" s="250">
        <v>0</v>
      </c>
      <c r="F17" s="239">
        <v>0</v>
      </c>
      <c r="G17" s="251">
        <v>0</v>
      </c>
      <c r="H17" s="245">
        <f t="shared" si="3"/>
        <v>0</v>
      </c>
      <c r="I17" s="316">
        <f>'Commercial Vehicles'!I17+Cars!I17+Caravans!I17</f>
        <v>0</v>
      </c>
    </row>
    <row r="18" spans="2:14" ht="15" x14ac:dyDescent="0.25">
      <c r="B18" s="316" t="str">
        <f t="shared" si="0"/>
        <v>Wednesday</v>
      </c>
      <c r="C18" s="312">
        <v>14</v>
      </c>
      <c r="D18" s="314">
        <f t="shared" si="1"/>
        <v>44391</v>
      </c>
      <c r="E18" s="250">
        <v>0</v>
      </c>
      <c r="F18" s="239">
        <v>0</v>
      </c>
      <c r="G18" s="251">
        <v>0</v>
      </c>
      <c r="H18" s="245">
        <f t="shared" si="3"/>
        <v>0</v>
      </c>
      <c r="I18" s="316">
        <f>'Commercial Vehicles'!I18+Cars!I18+Caravans!I18</f>
        <v>0</v>
      </c>
    </row>
    <row r="19" spans="2:14" ht="15" x14ac:dyDescent="0.25">
      <c r="B19" s="316" t="str">
        <f t="shared" si="0"/>
        <v>Thursday</v>
      </c>
      <c r="C19" s="312">
        <v>15</v>
      </c>
      <c r="D19" s="314">
        <f t="shared" si="1"/>
        <v>44392</v>
      </c>
      <c r="E19" s="250">
        <v>0</v>
      </c>
      <c r="F19" s="239">
        <v>0</v>
      </c>
      <c r="G19" s="251">
        <v>0</v>
      </c>
      <c r="H19" s="245">
        <f t="shared" si="3"/>
        <v>0</v>
      </c>
      <c r="I19" s="316">
        <f>'Commercial Vehicles'!I19+Cars!I19+Caravans!I19</f>
        <v>0</v>
      </c>
    </row>
    <row r="20" spans="2:14" ht="15" x14ac:dyDescent="0.25">
      <c r="B20" s="316" t="str">
        <f t="shared" si="0"/>
        <v>Friday</v>
      </c>
      <c r="C20" s="312">
        <v>16</v>
      </c>
      <c r="D20" s="314">
        <f t="shared" si="1"/>
        <v>44393</v>
      </c>
      <c r="E20" s="250">
        <v>0</v>
      </c>
      <c r="F20" s="239">
        <v>0</v>
      </c>
      <c r="G20" s="251">
        <v>0</v>
      </c>
      <c r="H20" s="245">
        <f t="shared" si="3"/>
        <v>0</v>
      </c>
      <c r="I20" s="316">
        <f>'Commercial Vehicles'!I20+Cars!I20+Caravans!I20</f>
        <v>0</v>
      </c>
    </row>
    <row r="21" spans="2:14" ht="15" x14ac:dyDescent="0.25">
      <c r="B21" s="316" t="str">
        <f t="shared" si="0"/>
        <v>Saturday</v>
      </c>
      <c r="C21" s="312">
        <v>17</v>
      </c>
      <c r="D21" s="314">
        <f t="shared" si="1"/>
        <v>44394</v>
      </c>
      <c r="E21" s="250">
        <v>0</v>
      </c>
      <c r="F21" s="239">
        <v>0</v>
      </c>
      <c r="G21" s="251">
        <v>0</v>
      </c>
      <c r="H21" s="245">
        <f t="shared" si="3"/>
        <v>0</v>
      </c>
      <c r="I21" s="316">
        <f>'Commercial Vehicles'!I21+Cars!I21+Caravans!I21</f>
        <v>0</v>
      </c>
    </row>
    <row r="22" spans="2:14" ht="15" x14ac:dyDescent="0.25">
      <c r="B22" s="316" t="str">
        <f t="shared" si="0"/>
        <v>Sunday</v>
      </c>
      <c r="C22" s="312">
        <v>18</v>
      </c>
      <c r="D22" s="314">
        <f t="shared" si="1"/>
        <v>44395</v>
      </c>
      <c r="E22" s="250">
        <v>0</v>
      </c>
      <c r="F22" s="239">
        <v>0</v>
      </c>
      <c r="G22" s="251">
        <v>0</v>
      </c>
      <c r="H22" s="245">
        <f t="shared" si="3"/>
        <v>0</v>
      </c>
      <c r="I22" s="316">
        <f>'Commercial Vehicles'!I22+Cars!I22+Caravans!I22</f>
        <v>0</v>
      </c>
    </row>
    <row r="23" spans="2:14" ht="15" x14ac:dyDescent="0.25">
      <c r="B23" s="316" t="str">
        <f t="shared" si="0"/>
        <v>Monday</v>
      </c>
      <c r="C23" s="312">
        <v>19</v>
      </c>
      <c r="D23" s="314">
        <f t="shared" si="1"/>
        <v>44396</v>
      </c>
      <c r="E23" s="250">
        <v>0</v>
      </c>
      <c r="F23" s="239">
        <v>0</v>
      </c>
      <c r="G23" s="251">
        <v>0</v>
      </c>
      <c r="H23" s="245">
        <f t="shared" si="3"/>
        <v>0</v>
      </c>
      <c r="I23" s="316">
        <f>'Commercial Vehicles'!I23+Cars!I23+Caravans!I23</f>
        <v>0</v>
      </c>
    </row>
    <row r="24" spans="2:14" ht="15" x14ac:dyDescent="0.25">
      <c r="B24" s="316" t="str">
        <f t="shared" si="0"/>
        <v>Tuesday</v>
      </c>
      <c r="C24" s="312">
        <v>20</v>
      </c>
      <c r="D24" s="314">
        <f t="shared" si="1"/>
        <v>44397</v>
      </c>
      <c r="E24" s="250">
        <v>0</v>
      </c>
      <c r="F24" s="239">
        <v>0</v>
      </c>
      <c r="G24" s="251">
        <v>0</v>
      </c>
      <c r="H24" s="245">
        <f t="shared" si="3"/>
        <v>0</v>
      </c>
      <c r="I24" s="316">
        <f>'Commercial Vehicles'!I24+Cars!I24+Caravans!I24</f>
        <v>0</v>
      </c>
    </row>
    <row r="25" spans="2:14" ht="15" x14ac:dyDescent="0.25">
      <c r="B25" s="316" t="str">
        <f t="shared" si="0"/>
        <v>Wednesday</v>
      </c>
      <c r="C25" s="312">
        <v>21</v>
      </c>
      <c r="D25" s="314">
        <f t="shared" si="1"/>
        <v>44398</v>
      </c>
      <c r="E25" s="250">
        <v>0</v>
      </c>
      <c r="F25" s="239">
        <v>0</v>
      </c>
      <c r="G25" s="251">
        <v>0</v>
      </c>
      <c r="H25" s="245">
        <f t="shared" si="3"/>
        <v>0</v>
      </c>
      <c r="I25" s="316">
        <f>'Commercial Vehicles'!I25+Cars!I25+Caravans!I25</f>
        <v>0</v>
      </c>
    </row>
    <row r="26" spans="2:14" ht="15.6" thickBot="1" x14ac:dyDescent="0.3">
      <c r="B26" s="316" t="str">
        <f t="shared" si="0"/>
        <v>Thursday</v>
      </c>
      <c r="C26" s="312">
        <v>22</v>
      </c>
      <c r="D26" s="314">
        <f t="shared" si="1"/>
        <v>44399</v>
      </c>
      <c r="E26" s="250">
        <v>0</v>
      </c>
      <c r="F26" s="239">
        <v>0</v>
      </c>
      <c r="G26" s="251">
        <v>0</v>
      </c>
      <c r="H26" s="245">
        <f t="shared" si="3"/>
        <v>0</v>
      </c>
      <c r="I26" s="316">
        <f>'Commercial Vehicles'!I26+Cars!I26+Caravans!I26</f>
        <v>0</v>
      </c>
    </row>
    <row r="27" spans="2:14" ht="16.5" customHeight="1" x14ac:dyDescent="0.25">
      <c r="B27" s="316" t="str">
        <f t="shared" si="0"/>
        <v>Friday</v>
      </c>
      <c r="C27" s="312">
        <v>23</v>
      </c>
      <c r="D27" s="314">
        <f t="shared" si="1"/>
        <v>44400</v>
      </c>
      <c r="E27" s="250">
        <v>0</v>
      </c>
      <c r="F27" s="239">
        <v>0</v>
      </c>
      <c r="G27" s="251">
        <v>0</v>
      </c>
      <c r="H27" s="245">
        <f t="shared" si="3"/>
        <v>0</v>
      </c>
      <c r="I27" s="316">
        <f>'Commercial Vehicles'!I27+Cars!I27+Caravans!I27</f>
        <v>0</v>
      </c>
      <c r="J27" s="338" t="s">
        <v>121</v>
      </c>
      <c r="K27" s="339"/>
      <c r="L27" s="339"/>
      <c r="M27" s="339"/>
      <c r="N27" s="340"/>
    </row>
    <row r="28" spans="2:14" ht="16.5" customHeight="1" thickBot="1" x14ac:dyDescent="0.3">
      <c r="B28" s="316" t="str">
        <f t="shared" si="0"/>
        <v>Saturday</v>
      </c>
      <c r="C28" s="312">
        <v>24</v>
      </c>
      <c r="D28" s="314">
        <f t="shared" si="1"/>
        <v>44401</v>
      </c>
      <c r="E28" s="250">
        <v>0</v>
      </c>
      <c r="F28" s="239">
        <v>0</v>
      </c>
      <c r="G28" s="251">
        <v>0</v>
      </c>
      <c r="H28" s="245">
        <f t="shared" si="3"/>
        <v>0</v>
      </c>
      <c r="I28" s="316">
        <f>'Commercial Vehicles'!I28+Cars!I28+Caravans!I28</f>
        <v>0</v>
      </c>
      <c r="J28" s="341"/>
      <c r="K28" s="342"/>
      <c r="L28" s="342"/>
      <c r="M28" s="342"/>
      <c r="N28" s="343"/>
    </row>
    <row r="29" spans="2:14" ht="15.75" customHeight="1" thickBot="1" x14ac:dyDescent="0.3">
      <c r="B29" s="316" t="str">
        <f t="shared" si="0"/>
        <v>Sunday</v>
      </c>
      <c r="C29" s="312">
        <v>25</v>
      </c>
      <c r="D29" s="314">
        <f t="shared" si="1"/>
        <v>44402</v>
      </c>
      <c r="E29" s="250">
        <v>0</v>
      </c>
      <c r="F29" s="239">
        <v>0</v>
      </c>
      <c r="G29" s="251">
        <v>0</v>
      </c>
      <c r="H29" s="245">
        <f t="shared" si="3"/>
        <v>0</v>
      </c>
      <c r="I29" s="316">
        <f>'Commercial Vehicles'!I29+Cars!I29+Caravans!I29</f>
        <v>0</v>
      </c>
      <c r="J29" s="292"/>
      <c r="K29" s="293" t="s">
        <v>101</v>
      </c>
      <c r="L29" s="293" t="s">
        <v>12</v>
      </c>
      <c r="M29" s="293" t="s">
        <v>13</v>
      </c>
      <c r="N29" s="294" t="s">
        <v>122</v>
      </c>
    </row>
    <row r="30" spans="2:14" ht="16.2" thickBot="1" x14ac:dyDescent="0.35">
      <c r="B30" s="316" t="str">
        <f t="shared" si="0"/>
        <v>Monday</v>
      </c>
      <c r="C30" s="312">
        <v>26</v>
      </c>
      <c r="D30" s="314">
        <f t="shared" si="1"/>
        <v>44403</v>
      </c>
      <c r="E30" s="250">
        <v>0</v>
      </c>
      <c r="F30" s="239">
        <v>0</v>
      </c>
      <c r="G30" s="251">
        <v>0</v>
      </c>
      <c r="H30" s="245">
        <f t="shared" si="3"/>
        <v>0</v>
      </c>
      <c r="I30" s="316">
        <f>'Commercial Vehicles'!I30+Cars!I30+Caravans!I30</f>
        <v>0</v>
      </c>
      <c r="J30" s="303" t="s">
        <v>112</v>
      </c>
      <c r="K30" s="306">
        <f>AVERAGEIF($B$5:$B$35,$J30,E$5:E$35)</f>
        <v>0</v>
      </c>
      <c r="L30" s="306">
        <f t="shared" ref="L30:M30" si="9">AVERAGEIF($B$5:$B$35,$J30,F$5:F$35)</f>
        <v>0</v>
      </c>
      <c r="M30" s="306">
        <f t="shared" si="9"/>
        <v>0</v>
      </c>
      <c r="N30" s="308">
        <f>AVERAGE(K30:M30)</f>
        <v>0</v>
      </c>
    </row>
    <row r="31" spans="2:14" ht="16.2" thickBot="1" x14ac:dyDescent="0.35">
      <c r="B31" s="316" t="str">
        <f t="shared" si="0"/>
        <v>Tuesday</v>
      </c>
      <c r="C31" s="312">
        <v>27</v>
      </c>
      <c r="D31" s="314">
        <f t="shared" si="1"/>
        <v>44404</v>
      </c>
      <c r="E31" s="250">
        <v>0</v>
      </c>
      <c r="F31" s="239">
        <v>0</v>
      </c>
      <c r="G31" s="251">
        <v>0</v>
      </c>
      <c r="H31" s="245">
        <f t="shared" si="3"/>
        <v>0</v>
      </c>
      <c r="I31" s="316">
        <f>'Commercial Vehicles'!I31+Cars!I31+Caravans!I31</f>
        <v>0</v>
      </c>
      <c r="J31" s="304" t="s">
        <v>113</v>
      </c>
      <c r="K31" s="306">
        <f t="shared" ref="K31:K36" si="10">AVERAGEIF(B$5:B$35,$J31,E$5:E$35)</f>
        <v>0</v>
      </c>
      <c r="L31" s="306">
        <f t="shared" ref="L31:L36" si="11">AVERAGEIF($B$5:$B$35,$J31,F$5:F$35)</f>
        <v>0</v>
      </c>
      <c r="M31" s="306">
        <f t="shared" ref="M31:M36" si="12">AVERAGEIF($B$5:$B$35,$J31,G$5:G$35)</f>
        <v>0</v>
      </c>
      <c r="N31" s="309">
        <f>AVERAGE(K31:M31)</f>
        <v>0</v>
      </c>
    </row>
    <row r="32" spans="2:14" ht="16.2" thickBot="1" x14ac:dyDescent="0.35">
      <c r="B32" s="316" t="str">
        <f t="shared" si="0"/>
        <v>Wednesday</v>
      </c>
      <c r="C32" s="312">
        <v>28</v>
      </c>
      <c r="D32" s="314">
        <f t="shared" si="1"/>
        <v>44405</v>
      </c>
      <c r="E32" s="250">
        <v>0</v>
      </c>
      <c r="F32" s="239">
        <v>0</v>
      </c>
      <c r="G32" s="251">
        <v>0</v>
      </c>
      <c r="H32" s="245">
        <f t="shared" si="3"/>
        <v>0</v>
      </c>
      <c r="I32" s="316">
        <f>'Commercial Vehicles'!I32+Cars!I32+Caravans!I32</f>
        <v>0</v>
      </c>
      <c r="J32" s="304" t="s">
        <v>114</v>
      </c>
      <c r="K32" s="306">
        <f t="shared" si="10"/>
        <v>0</v>
      </c>
      <c r="L32" s="306">
        <f t="shared" si="11"/>
        <v>0</v>
      </c>
      <c r="M32" s="306">
        <f t="shared" si="12"/>
        <v>0</v>
      </c>
      <c r="N32" s="309">
        <f t="shared" ref="N32:N36" si="13">AVERAGE(K32:M32)</f>
        <v>0</v>
      </c>
    </row>
    <row r="33" spans="2:14" ht="16.2" thickBot="1" x14ac:dyDescent="0.35">
      <c r="B33" s="316" t="str">
        <f t="shared" si="0"/>
        <v>Thursday</v>
      </c>
      <c r="C33" s="312">
        <v>29</v>
      </c>
      <c r="D33" s="314">
        <f t="shared" si="1"/>
        <v>44406</v>
      </c>
      <c r="E33" s="250">
        <v>0</v>
      </c>
      <c r="F33" s="239">
        <v>0</v>
      </c>
      <c r="G33" s="251">
        <v>0</v>
      </c>
      <c r="H33" s="245">
        <f t="shared" si="3"/>
        <v>0</v>
      </c>
      <c r="I33" s="316">
        <f>'Commercial Vehicles'!I33+Cars!I33+Caravans!I33</f>
        <v>0</v>
      </c>
      <c r="J33" s="304" t="s">
        <v>115</v>
      </c>
      <c r="K33" s="306">
        <f t="shared" si="10"/>
        <v>0</v>
      </c>
      <c r="L33" s="306">
        <f t="shared" si="11"/>
        <v>0</v>
      </c>
      <c r="M33" s="306">
        <f t="shared" si="12"/>
        <v>0</v>
      </c>
      <c r="N33" s="309">
        <f t="shared" si="13"/>
        <v>0</v>
      </c>
    </row>
    <row r="34" spans="2:14" ht="16.2" thickBot="1" x14ac:dyDescent="0.35">
      <c r="B34" s="316" t="str">
        <f t="shared" si="0"/>
        <v>Friday</v>
      </c>
      <c r="C34" s="312">
        <v>30</v>
      </c>
      <c r="D34" s="314">
        <f t="shared" si="1"/>
        <v>44407</v>
      </c>
      <c r="E34" s="250">
        <v>0</v>
      </c>
      <c r="F34" s="239">
        <v>0</v>
      </c>
      <c r="G34" s="251">
        <v>0</v>
      </c>
      <c r="H34" s="245">
        <f t="shared" si="3"/>
        <v>0</v>
      </c>
      <c r="I34" s="316">
        <f>'Commercial Vehicles'!I34+Cars!I34+Caravans!I34</f>
        <v>0</v>
      </c>
      <c r="J34" s="304" t="s">
        <v>116</v>
      </c>
      <c r="K34" s="306">
        <f t="shared" si="10"/>
        <v>0</v>
      </c>
      <c r="L34" s="306">
        <f t="shared" si="11"/>
        <v>0</v>
      </c>
      <c r="M34" s="306">
        <f t="shared" si="12"/>
        <v>0</v>
      </c>
      <c r="N34" s="309">
        <f t="shared" si="13"/>
        <v>0</v>
      </c>
    </row>
    <row r="35" spans="2:14" ht="16.2" thickBot="1" x14ac:dyDescent="0.35">
      <c r="B35" s="316" t="str">
        <f t="shared" si="0"/>
        <v>Saturday</v>
      </c>
      <c r="C35" s="313">
        <v>31</v>
      </c>
      <c r="D35" s="314">
        <f t="shared" si="1"/>
        <v>44408</v>
      </c>
      <c r="E35" s="252">
        <v>0</v>
      </c>
      <c r="F35" s="240">
        <v>0</v>
      </c>
      <c r="G35" s="253">
        <v>0</v>
      </c>
      <c r="H35" s="246">
        <f t="shared" si="3"/>
        <v>0</v>
      </c>
      <c r="I35" s="316">
        <f>'Commercial Vehicles'!I35+Cars!I35+Caravans!I35</f>
        <v>0</v>
      </c>
      <c r="J35" s="304" t="s">
        <v>117</v>
      </c>
      <c r="K35" s="306">
        <f t="shared" si="10"/>
        <v>0</v>
      </c>
      <c r="L35" s="306">
        <f t="shared" si="11"/>
        <v>0</v>
      </c>
      <c r="M35" s="306">
        <f t="shared" si="12"/>
        <v>0</v>
      </c>
      <c r="N35" s="309">
        <f t="shared" si="13"/>
        <v>0</v>
      </c>
    </row>
    <row r="36" spans="2:14" ht="16.5" customHeight="1" thickBot="1" x14ac:dyDescent="0.35">
      <c r="C36" s="350" t="s">
        <v>124</v>
      </c>
      <c r="D36" s="351"/>
      <c r="E36" s="254">
        <f>SUM(E5:E35)</f>
        <v>0</v>
      </c>
      <c r="F36" s="255">
        <f t="shared" ref="F36:H36" si="14">SUM(F5:F35)</f>
        <v>0</v>
      </c>
      <c r="G36" s="256">
        <f t="shared" si="14"/>
        <v>0</v>
      </c>
      <c r="H36" s="257">
        <f t="shared" si="14"/>
        <v>0</v>
      </c>
      <c r="J36" s="305" t="s">
        <v>118</v>
      </c>
      <c r="K36" s="306">
        <f t="shared" si="10"/>
        <v>0</v>
      </c>
      <c r="L36" s="306">
        <f t="shared" si="11"/>
        <v>0</v>
      </c>
      <c r="M36" s="306">
        <f t="shared" si="12"/>
        <v>0</v>
      </c>
      <c r="N36" s="309">
        <f t="shared" si="13"/>
        <v>0</v>
      </c>
    </row>
    <row r="37" spans="2:14" ht="16.5" customHeight="1" thickBot="1" x14ac:dyDescent="0.35">
      <c r="D37" s="238"/>
      <c r="J37" s="307" t="s">
        <v>122</v>
      </c>
      <c r="K37" s="311">
        <f>AVERAGE(K30:K36)</f>
        <v>0</v>
      </c>
      <c r="L37" s="311">
        <f t="shared" ref="L37:M37" si="15">AVERAGE(L30:L36)</f>
        <v>0</v>
      </c>
      <c r="M37" s="311">
        <f t="shared" si="15"/>
        <v>0</v>
      </c>
      <c r="N37" s="310"/>
    </row>
    <row r="38" spans="2:14" ht="16.5" customHeight="1" x14ac:dyDescent="0.25">
      <c r="D38" s="238"/>
    </row>
    <row r="39" spans="2:14" ht="16.5" customHeight="1" x14ac:dyDescent="0.25">
      <c r="D39" s="238"/>
    </row>
    <row r="40" spans="2:14" ht="16.5" customHeight="1" x14ac:dyDescent="0.25">
      <c r="D40" s="238"/>
    </row>
    <row r="41" spans="2:14" ht="16.5" customHeight="1" x14ac:dyDescent="0.25">
      <c r="D41" s="238"/>
    </row>
    <row r="42" spans="2:14" ht="16.5" customHeight="1" x14ac:dyDescent="0.25">
      <c r="D42" s="238"/>
    </row>
    <row r="43" spans="2:14" ht="16.5" customHeight="1" x14ac:dyDescent="0.25">
      <c r="D43" s="238"/>
    </row>
    <row r="44" spans="2:14" ht="16.5" customHeight="1" x14ac:dyDescent="0.25">
      <c r="D44" s="238"/>
    </row>
    <row r="45" spans="2:14" ht="16.5" customHeight="1" x14ac:dyDescent="0.25"/>
    <row r="46" spans="2:14" ht="16.5" customHeight="1" x14ac:dyDescent="0.25"/>
    <row r="47" spans="2:14" ht="16.5" customHeight="1" x14ac:dyDescent="0.25"/>
    <row r="48" spans="2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3" priority="2" operator="greaterThanOrEqual">
      <formula>300</formula>
    </cfRule>
    <cfRule type="cellIs" dxfId="2" priority="3" operator="between">
      <formula>250</formula>
      <formula>300</formula>
    </cfRule>
    <cfRule type="cellIs" dxfId="1" priority="4" operator="greaterThanOrEqual">
      <formula>200</formula>
    </cfRule>
  </conditionalFormatting>
  <conditionalFormatting sqref="I5:I35">
    <cfRule type="cellIs" dxfId="0" priority="1" operator="notEqual">
      <formula>$H5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38" customWidth="1"/>
    <col min="2" max="2" width="4.6640625" style="38" customWidth="1"/>
    <col min="3" max="3" width="7.6640625" style="38" customWidth="1"/>
    <col min="4" max="9" width="8.6640625" style="38" customWidth="1"/>
    <col min="10" max="10" width="13" style="38" customWidth="1"/>
    <col min="11" max="16384" width="9.109375" style="38"/>
  </cols>
  <sheetData>
    <row r="1" spans="3:10" ht="15.6" thickBot="1" x14ac:dyDescent="0.3"/>
    <row r="2" spans="3:10" ht="15.6" x14ac:dyDescent="0.25">
      <c r="C2" s="352" t="str">
        <f xml:space="preserve"> "VEHICLES WITH FRUIT PASSING THROUGH " &amp; Location</f>
        <v>VEHICLES WITH FRUIT PASSING THROUGH OODLA WIRRA</v>
      </c>
      <c r="D2" s="326"/>
      <c r="E2" s="326"/>
      <c r="F2" s="326"/>
      <c r="G2" s="326"/>
      <c r="H2" s="326"/>
      <c r="I2" s="326"/>
      <c r="J2" s="327"/>
    </row>
    <row r="3" spans="3:10" ht="16.2" thickBot="1" x14ac:dyDescent="0.3">
      <c r="C3" s="328" t="str">
        <f>Month &amp; " " &amp; Year</f>
        <v>July 2021</v>
      </c>
      <c r="D3" s="329"/>
      <c r="E3" s="329"/>
      <c r="F3" s="329"/>
      <c r="G3" s="329"/>
      <c r="H3" s="329"/>
      <c r="I3" s="329"/>
      <c r="J3" s="330"/>
    </row>
    <row r="4" spans="3:10" s="58" customFormat="1" ht="31.8" thickBot="1" x14ac:dyDescent="0.3">
      <c r="C4" s="56" t="s">
        <v>0</v>
      </c>
      <c r="D4" s="56" t="s">
        <v>1</v>
      </c>
      <c r="E4" s="56" t="s">
        <v>2</v>
      </c>
      <c r="F4" s="56" t="s">
        <v>3</v>
      </c>
      <c r="G4" s="56" t="s">
        <v>4</v>
      </c>
      <c r="H4" s="56" t="s">
        <v>5</v>
      </c>
      <c r="I4" s="56" t="s">
        <v>48</v>
      </c>
      <c r="J4" s="57" t="s">
        <v>8</v>
      </c>
    </row>
    <row r="5" spans="3:10" ht="15.6" x14ac:dyDescent="0.3">
      <c r="C5" s="40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42">
        <f t="shared" ref="J5:J35" si="0">SUM(D5:I5)</f>
        <v>0</v>
      </c>
    </row>
    <row r="6" spans="3:10" ht="15.6" x14ac:dyDescent="0.3">
      <c r="C6" s="4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37">
        <f t="shared" si="0"/>
        <v>0</v>
      </c>
    </row>
    <row r="7" spans="3:10" ht="15.6" x14ac:dyDescent="0.3">
      <c r="C7" s="4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37">
        <f t="shared" si="0"/>
        <v>0</v>
      </c>
    </row>
    <row r="8" spans="3:10" ht="15.6" x14ac:dyDescent="0.3">
      <c r="C8" s="4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37">
        <f t="shared" si="0"/>
        <v>0</v>
      </c>
    </row>
    <row r="9" spans="3:10" ht="15.6" x14ac:dyDescent="0.3">
      <c r="C9" s="4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37">
        <f t="shared" si="0"/>
        <v>0</v>
      </c>
    </row>
    <row r="10" spans="3:10" ht="15.6" x14ac:dyDescent="0.3">
      <c r="C10" s="4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37">
        <f t="shared" si="0"/>
        <v>0</v>
      </c>
    </row>
    <row r="11" spans="3:10" ht="15.6" x14ac:dyDescent="0.3">
      <c r="C11" s="4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37">
        <f t="shared" si="0"/>
        <v>0</v>
      </c>
    </row>
    <row r="12" spans="3:10" ht="15.6" x14ac:dyDescent="0.3">
      <c r="C12" s="4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37">
        <f t="shared" si="0"/>
        <v>0</v>
      </c>
    </row>
    <row r="13" spans="3:10" ht="15.6" x14ac:dyDescent="0.3">
      <c r="C13" s="4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37">
        <f t="shared" si="0"/>
        <v>0</v>
      </c>
    </row>
    <row r="14" spans="3:10" ht="15.6" x14ac:dyDescent="0.3">
      <c r="C14" s="4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37">
        <f t="shared" si="0"/>
        <v>0</v>
      </c>
    </row>
    <row r="15" spans="3:10" ht="15.6" x14ac:dyDescent="0.3">
      <c r="C15" s="4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37">
        <f t="shared" si="0"/>
        <v>0</v>
      </c>
    </row>
    <row r="16" spans="3:10" ht="15.6" x14ac:dyDescent="0.3">
      <c r="C16" s="4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37">
        <f t="shared" si="0"/>
        <v>0</v>
      </c>
    </row>
    <row r="17" spans="3:10" ht="15.6" x14ac:dyDescent="0.3">
      <c r="C17" s="4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37">
        <f t="shared" si="0"/>
        <v>0</v>
      </c>
    </row>
    <row r="18" spans="3:10" ht="15.6" x14ac:dyDescent="0.3">
      <c r="C18" s="4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37">
        <f t="shared" si="0"/>
        <v>0</v>
      </c>
    </row>
    <row r="19" spans="3:10" ht="15.6" x14ac:dyDescent="0.3">
      <c r="C19" s="4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37">
        <f t="shared" si="0"/>
        <v>0</v>
      </c>
    </row>
    <row r="20" spans="3:10" ht="15.6" x14ac:dyDescent="0.3">
      <c r="C20" s="4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37">
        <f t="shared" si="0"/>
        <v>0</v>
      </c>
    </row>
    <row r="21" spans="3:10" ht="15.6" x14ac:dyDescent="0.3">
      <c r="C21" s="4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37">
        <f t="shared" si="0"/>
        <v>0</v>
      </c>
    </row>
    <row r="22" spans="3:10" ht="15.6" x14ac:dyDescent="0.3">
      <c r="C22" s="4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37">
        <f t="shared" si="0"/>
        <v>0</v>
      </c>
    </row>
    <row r="23" spans="3:10" ht="15.6" x14ac:dyDescent="0.3">
      <c r="C23" s="4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37">
        <f t="shared" si="0"/>
        <v>0</v>
      </c>
    </row>
    <row r="24" spans="3:10" ht="15.6" x14ac:dyDescent="0.3">
      <c r="C24" s="4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37">
        <f t="shared" si="0"/>
        <v>0</v>
      </c>
    </row>
    <row r="25" spans="3:10" ht="15.6" x14ac:dyDescent="0.3">
      <c r="C25" s="4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37">
        <f t="shared" si="0"/>
        <v>0</v>
      </c>
    </row>
    <row r="26" spans="3:10" ht="15.6" x14ac:dyDescent="0.3">
      <c r="C26" s="4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37">
        <f t="shared" si="0"/>
        <v>0</v>
      </c>
    </row>
    <row r="27" spans="3:10" ht="15.6" x14ac:dyDescent="0.3">
      <c r="C27" s="4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37">
        <f t="shared" si="0"/>
        <v>0</v>
      </c>
    </row>
    <row r="28" spans="3:10" ht="15.6" x14ac:dyDescent="0.3">
      <c r="C28" s="4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37">
        <f t="shared" si="0"/>
        <v>0</v>
      </c>
    </row>
    <row r="29" spans="3:10" ht="15.6" x14ac:dyDescent="0.3">
      <c r="C29" s="4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37">
        <f t="shared" si="0"/>
        <v>0</v>
      </c>
    </row>
    <row r="30" spans="3:10" ht="15.6" x14ac:dyDescent="0.3">
      <c r="C30" s="4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37">
        <f t="shared" si="0"/>
        <v>0</v>
      </c>
    </row>
    <row r="31" spans="3:10" ht="15.6" x14ac:dyDescent="0.3">
      <c r="C31" s="4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37">
        <f t="shared" si="0"/>
        <v>0</v>
      </c>
    </row>
    <row r="32" spans="3:10" ht="15.6" x14ac:dyDescent="0.3">
      <c r="C32" s="4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37">
        <f t="shared" si="0"/>
        <v>0</v>
      </c>
    </row>
    <row r="33" spans="3:10" ht="15.6" x14ac:dyDescent="0.3">
      <c r="C33" s="4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37">
        <f t="shared" si="0"/>
        <v>0</v>
      </c>
    </row>
    <row r="34" spans="3:10" ht="15.6" x14ac:dyDescent="0.3">
      <c r="C34" s="4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37">
        <f t="shared" si="0"/>
        <v>0</v>
      </c>
    </row>
    <row r="35" spans="3:10" ht="16.2" thickBot="1" x14ac:dyDescent="0.35">
      <c r="C35" s="4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47">
        <f t="shared" si="0"/>
        <v>0</v>
      </c>
    </row>
    <row r="36" spans="3:10" x14ac:dyDescent="0.25">
      <c r="C36" s="49"/>
      <c r="D36" s="49"/>
      <c r="E36" s="49"/>
      <c r="F36" s="49"/>
      <c r="G36" s="49"/>
      <c r="H36" s="49"/>
      <c r="I36" s="49"/>
      <c r="J36" s="49"/>
    </row>
    <row r="37" spans="3:10" s="5" customFormat="1" ht="15.6" x14ac:dyDescent="0.3">
      <c r="C37" s="5" t="s">
        <v>20</v>
      </c>
      <c r="D37" s="7">
        <f t="shared" ref="D37:J37" si="1">SUM(D5:D35)</f>
        <v>0</v>
      </c>
      <c r="E37" s="7">
        <f t="shared" si="1"/>
        <v>0</v>
      </c>
      <c r="F37" s="7">
        <f t="shared" si="1"/>
        <v>0</v>
      </c>
      <c r="G37" s="7">
        <f t="shared" si="1"/>
        <v>0</v>
      </c>
      <c r="H37" s="7">
        <f t="shared" si="1"/>
        <v>0</v>
      </c>
      <c r="I37" s="7">
        <f t="shared" si="1"/>
        <v>0</v>
      </c>
      <c r="J37" s="7">
        <f t="shared" si="1"/>
        <v>0</v>
      </c>
    </row>
    <row r="38" spans="3:10" x14ac:dyDescent="0.25">
      <c r="D38" s="49"/>
      <c r="E38" s="49"/>
      <c r="F38" s="49"/>
      <c r="G38" s="49"/>
      <c r="H38" s="49"/>
      <c r="I38" s="49"/>
      <c r="J38" s="49"/>
    </row>
    <row r="39" spans="3:10" x14ac:dyDescent="0.25">
      <c r="D39" s="59" t="e">
        <f t="shared" ref="D39:I39" si="2">+D37/$J$37%</f>
        <v>#DIV/0!</v>
      </c>
      <c r="E39" s="59" t="e">
        <f t="shared" si="2"/>
        <v>#DIV/0!</v>
      </c>
      <c r="F39" s="59" t="e">
        <f t="shared" si="2"/>
        <v>#DIV/0!</v>
      </c>
      <c r="G39" s="59" t="e">
        <f t="shared" si="2"/>
        <v>#DIV/0!</v>
      </c>
      <c r="H39" s="59" t="e">
        <f t="shared" si="2"/>
        <v>#DIV/0!</v>
      </c>
      <c r="I39" s="59" t="e">
        <f t="shared" si="2"/>
        <v>#DIV/0!</v>
      </c>
      <c r="J39" s="59" t="e">
        <f>SUM(D39+E39+F39+G39+H39+I39)</f>
        <v>#DIV/0!</v>
      </c>
    </row>
    <row r="40" spans="3:10" x14ac:dyDescent="0.25">
      <c r="D40" s="49"/>
      <c r="E40" s="49"/>
      <c r="F40" s="49"/>
      <c r="G40" s="49"/>
      <c r="H40" s="49"/>
      <c r="I40" s="49"/>
      <c r="J40" s="49"/>
    </row>
    <row r="41" spans="3:10" x14ac:dyDescent="0.25">
      <c r="D41" s="49"/>
      <c r="E41" s="49"/>
      <c r="F41" s="49"/>
      <c r="G41" s="49"/>
      <c r="H41" s="49"/>
      <c r="I41" s="49"/>
      <c r="J41" s="49"/>
    </row>
    <row r="42" spans="3:10" x14ac:dyDescent="0.25">
      <c r="D42" s="49"/>
      <c r="E42" s="49"/>
      <c r="F42" s="49"/>
      <c r="G42" s="49"/>
      <c r="H42" s="49"/>
      <c r="I42" s="49"/>
      <c r="J42" s="49"/>
    </row>
    <row r="43" spans="3:10" x14ac:dyDescent="0.25">
      <c r="D43" s="49"/>
      <c r="E43" s="49"/>
      <c r="F43" s="49"/>
      <c r="G43" s="49"/>
      <c r="H43" s="49"/>
      <c r="I43" s="49"/>
      <c r="J43" s="49"/>
    </row>
    <row r="44" spans="3:10" x14ac:dyDescent="0.25">
      <c r="D44" s="49"/>
      <c r="E44" s="49"/>
      <c r="F44" s="49"/>
      <c r="G44" s="49"/>
      <c r="H44" s="49"/>
      <c r="I44" s="49"/>
      <c r="J44" s="49"/>
    </row>
    <row r="45" spans="3:10" x14ac:dyDescent="0.25">
      <c r="D45" s="49"/>
      <c r="E45" s="49"/>
      <c r="F45" s="49"/>
      <c r="G45" s="49"/>
      <c r="H45" s="49"/>
      <c r="I45" s="49"/>
      <c r="J45" s="49"/>
    </row>
    <row r="46" spans="3:10" x14ac:dyDescent="0.25">
      <c r="D46" s="49"/>
      <c r="E46" s="49"/>
      <c r="F46" s="49"/>
      <c r="G46" s="49"/>
      <c r="H46" s="49"/>
      <c r="I46" s="49"/>
      <c r="J46" s="49"/>
    </row>
    <row r="47" spans="3:10" x14ac:dyDescent="0.25">
      <c r="D47" s="49"/>
      <c r="E47" s="49"/>
      <c r="F47" s="49"/>
      <c r="G47" s="49"/>
      <c r="H47" s="49"/>
      <c r="I47" s="49"/>
      <c r="J47" s="49"/>
    </row>
    <row r="48" spans="3:10" x14ac:dyDescent="0.25">
      <c r="D48" s="49"/>
      <c r="E48" s="49"/>
      <c r="F48" s="49"/>
      <c r="G48" s="49"/>
      <c r="H48" s="49"/>
      <c r="I48" s="49"/>
      <c r="J48" s="49"/>
    </row>
    <row r="49" spans="4:10" x14ac:dyDescent="0.25">
      <c r="D49" s="49"/>
      <c r="E49" s="49"/>
      <c r="F49" s="49"/>
      <c r="G49" s="49"/>
      <c r="H49" s="49"/>
      <c r="I49" s="49"/>
      <c r="J49" s="49"/>
    </row>
    <row r="50" spans="4:10" x14ac:dyDescent="0.25">
      <c r="D50" s="49"/>
      <c r="E50" s="49"/>
      <c r="F50" s="49"/>
      <c r="G50" s="49"/>
      <c r="H50" s="49"/>
      <c r="I50" s="49"/>
      <c r="J50" s="49"/>
    </row>
    <row r="51" spans="4:10" x14ac:dyDescent="0.25">
      <c r="D51" s="49"/>
      <c r="E51" s="49"/>
      <c r="F51" s="49"/>
      <c r="G51" s="49"/>
      <c r="H51" s="49"/>
      <c r="I51" s="49"/>
      <c r="J51" s="49"/>
    </row>
    <row r="52" spans="4:10" x14ac:dyDescent="0.25">
      <c r="D52" s="49"/>
      <c r="E52" s="49"/>
      <c r="F52" s="49"/>
      <c r="G52" s="49"/>
      <c r="H52" s="49"/>
      <c r="I52" s="49"/>
      <c r="J52" s="49"/>
    </row>
    <row r="53" spans="4:10" x14ac:dyDescent="0.25">
      <c r="D53" s="49"/>
      <c r="E53" s="49"/>
      <c r="F53" s="49"/>
      <c r="G53" s="49"/>
      <c r="H53" s="49"/>
      <c r="I53" s="49"/>
      <c r="J53" s="49"/>
    </row>
    <row r="54" spans="4:10" x14ac:dyDescent="0.25">
      <c r="D54" s="49"/>
      <c r="E54" s="49"/>
      <c r="F54" s="49"/>
      <c r="G54" s="49"/>
      <c r="H54" s="49"/>
      <c r="I54" s="49"/>
      <c r="J54" s="49"/>
    </row>
    <row r="55" spans="4:10" x14ac:dyDescent="0.25">
      <c r="D55" s="49"/>
      <c r="E55" s="49"/>
      <c r="F55" s="49"/>
      <c r="G55" s="49"/>
      <c r="H55" s="49"/>
      <c r="I55" s="49"/>
      <c r="J55" s="49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87" customWidth="1"/>
    <col min="4" max="16384" width="8.88671875" style="87"/>
  </cols>
  <sheetData>
    <row r="2" spans="3:9" ht="17.399999999999999" x14ac:dyDescent="0.3">
      <c r="C2" s="94" t="str">
        <f>Location &amp; " Roadblock - Totals to the end of last month"</f>
        <v>OODLA WIRRA Roadblock - Totals to the end of last month</v>
      </c>
      <c r="D2" s="95"/>
      <c r="E2" s="95"/>
      <c r="F2" s="94"/>
    </row>
    <row r="3" spans="3:9" ht="15.6" thickBot="1" x14ac:dyDescent="0.3">
      <c r="E3" s="88"/>
    </row>
    <row r="4" spans="3:9" ht="15.6" thickBot="1" x14ac:dyDescent="0.3">
      <c r="C4" s="89"/>
      <c r="D4" s="90"/>
      <c r="E4" s="233"/>
      <c r="F4" s="90"/>
      <c r="G4" s="91" t="s">
        <v>96</v>
      </c>
      <c r="H4" s="276"/>
    </row>
    <row r="5" spans="3:9" ht="15.6" thickBot="1" x14ac:dyDescent="0.3">
      <c r="C5" s="89"/>
      <c r="D5" s="90"/>
      <c r="E5" s="90"/>
      <c r="F5" s="90"/>
      <c r="G5" s="91" t="s">
        <v>98</v>
      </c>
      <c r="H5" s="234"/>
    </row>
    <row r="6" spans="3:9" ht="15.6" thickBot="1" x14ac:dyDescent="0.3">
      <c r="C6" s="89"/>
      <c r="D6" s="90"/>
      <c r="E6" s="90"/>
      <c r="F6" s="90"/>
      <c r="G6" s="91" t="s">
        <v>108</v>
      </c>
      <c r="H6" s="234"/>
    </row>
    <row r="7" spans="3:9" ht="15.6" thickBot="1" x14ac:dyDescent="0.3">
      <c r="C7" s="89"/>
      <c r="D7" s="90"/>
      <c r="E7" s="90"/>
      <c r="F7" s="90"/>
      <c r="G7" s="91" t="s">
        <v>97</v>
      </c>
      <c r="H7" s="234"/>
    </row>
    <row r="8" spans="3:9" ht="15.6" thickBot="1" x14ac:dyDescent="0.3">
      <c r="C8" s="89"/>
      <c r="D8" s="90"/>
      <c r="E8" s="90"/>
      <c r="F8" s="90"/>
      <c r="G8" s="91" t="s">
        <v>31</v>
      </c>
      <c r="H8" s="234"/>
    </row>
    <row r="9" spans="3:9" ht="15.6" thickBot="1" x14ac:dyDescent="0.3">
      <c r="G9" s="92"/>
      <c r="H9" s="93"/>
    </row>
    <row r="10" spans="3:9" ht="15.6" thickBot="1" x14ac:dyDescent="0.3">
      <c r="C10" s="89"/>
      <c r="D10" s="90"/>
      <c r="E10" s="90"/>
      <c r="F10" s="90"/>
      <c r="G10" s="91" t="s">
        <v>40</v>
      </c>
      <c r="H10" s="276"/>
    </row>
    <row r="11" spans="3:9" ht="15.6" thickBot="1" x14ac:dyDescent="0.3">
      <c r="C11" s="89"/>
      <c r="D11" s="90"/>
      <c r="E11" s="90"/>
      <c r="F11" s="90"/>
      <c r="G11" s="91" t="s">
        <v>39</v>
      </c>
      <c r="H11" s="276"/>
    </row>
    <row r="12" spans="3:9" ht="15.6" thickBot="1" x14ac:dyDescent="0.3">
      <c r="C12" s="89"/>
      <c r="D12" s="90"/>
      <c r="E12" s="90"/>
      <c r="F12" s="90"/>
      <c r="G12" s="91" t="s">
        <v>32</v>
      </c>
      <c r="H12" s="277">
        <f>SUM(H10:H11)</f>
        <v>0</v>
      </c>
    </row>
    <row r="13" spans="3:9" ht="15.6" thickBot="1" x14ac:dyDescent="0.3">
      <c r="I13" s="92"/>
    </row>
    <row r="14" spans="3:9" ht="15.6" thickBot="1" x14ac:dyDescent="0.3">
      <c r="C14" s="89"/>
      <c r="D14" s="90"/>
      <c r="E14" s="90"/>
      <c r="F14" s="90"/>
      <c r="G14" s="91" t="s">
        <v>33</v>
      </c>
      <c r="H14" s="234"/>
    </row>
    <row r="15" spans="3:9" ht="15.6" thickBot="1" x14ac:dyDescent="0.3">
      <c r="C15" s="89"/>
      <c r="D15" s="90"/>
      <c r="E15" s="90"/>
      <c r="F15" s="90"/>
      <c r="G15" s="91" t="s">
        <v>34</v>
      </c>
      <c r="H15" s="234"/>
    </row>
    <row r="16" spans="3:9" ht="15.6" thickBot="1" x14ac:dyDescent="0.3">
      <c r="C16" s="89"/>
      <c r="D16" s="90"/>
      <c r="E16" s="90"/>
      <c r="F16" s="90"/>
      <c r="G16" s="91" t="s">
        <v>35</v>
      </c>
      <c r="H16" s="234"/>
    </row>
    <row r="17" spans="3:8" ht="15.6" thickBot="1" x14ac:dyDescent="0.3">
      <c r="C17" s="89"/>
      <c r="D17" s="90"/>
      <c r="E17" s="90"/>
      <c r="F17" s="90"/>
      <c r="G17" s="91" t="s">
        <v>36</v>
      </c>
      <c r="H17" s="234"/>
    </row>
    <row r="18" spans="3:8" ht="15.6" thickBot="1" x14ac:dyDescent="0.3">
      <c r="C18" s="89"/>
      <c r="D18" s="90"/>
      <c r="E18" s="90"/>
      <c r="F18" s="90"/>
      <c r="G18" s="91" t="s">
        <v>44</v>
      </c>
      <c r="H18" s="96">
        <f>SUM(H14:H17)</f>
        <v>0</v>
      </c>
    </row>
    <row r="19" spans="3:8" ht="15.6" thickBot="1" x14ac:dyDescent="0.3">
      <c r="G19" s="92"/>
      <c r="H19" s="222"/>
    </row>
    <row r="20" spans="3:8" ht="15.6" thickBot="1" x14ac:dyDescent="0.3">
      <c r="C20" s="89"/>
      <c r="D20" s="90"/>
      <c r="E20" s="90"/>
      <c r="F20" s="90"/>
      <c r="G20" s="217" t="s">
        <v>90</v>
      </c>
      <c r="H20" s="225"/>
    </row>
    <row r="21" spans="3:8" ht="13.8" thickBot="1" x14ac:dyDescent="0.3"/>
    <row r="22" spans="3:8" ht="15.6" thickBot="1" x14ac:dyDescent="0.3">
      <c r="C22" s="353" t="s">
        <v>86</v>
      </c>
      <c r="D22" s="354"/>
      <c r="E22" s="354"/>
      <c r="F22" s="354"/>
      <c r="G22" s="355"/>
      <c r="H22" s="218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07"/>
    <col min="2" max="2" width="9.109375" style="207" customWidth="1"/>
    <col min="3" max="6" width="14.6640625" style="207" customWidth="1"/>
    <col min="7" max="16384" width="9.109375" style="207"/>
  </cols>
  <sheetData>
    <row r="1" spans="2:6" s="199" customFormat="1" x14ac:dyDescent="0.3"/>
    <row r="2" spans="2:6" s="199" customFormat="1" ht="23.4" x14ac:dyDescent="0.45">
      <c r="C2" s="219" t="s">
        <v>87</v>
      </c>
      <c r="D2" s="219"/>
    </row>
    <row r="3" spans="2:6" s="199" customFormat="1" ht="15" thickBot="1" x14ac:dyDescent="0.35"/>
    <row r="4" spans="2:6" s="199" customFormat="1" ht="15" thickTop="1" x14ac:dyDescent="0.3">
      <c r="B4" s="200" t="s">
        <v>80</v>
      </c>
      <c r="C4" s="220">
        <f>PBal -F5+F4</f>
        <v>0</v>
      </c>
      <c r="E4" s="200" t="s">
        <v>81</v>
      </c>
      <c r="F4" s="201">
        <f>SUM(E10:E34)</f>
        <v>0</v>
      </c>
    </row>
    <row r="5" spans="2:6" s="199" customFormat="1" ht="15" thickBot="1" x14ac:dyDescent="0.35">
      <c r="B5" s="202" t="s">
        <v>82</v>
      </c>
      <c r="C5" s="203">
        <f>PreviousFoodlandBalance</f>
        <v>0</v>
      </c>
      <c r="E5" s="202" t="s">
        <v>83</v>
      </c>
      <c r="F5" s="203">
        <f>SUM(D10:D34)</f>
        <v>0</v>
      </c>
    </row>
    <row r="6" spans="2:6" s="199" customFormat="1" ht="8.25" customHeight="1" thickTop="1" x14ac:dyDescent="0.3">
      <c r="C6" s="236"/>
      <c r="F6" s="204"/>
    </row>
    <row r="7" spans="2:6" s="205" customFormat="1" ht="8.25" customHeight="1" thickBot="1" x14ac:dyDescent="0.35">
      <c r="C7" s="237"/>
      <c r="F7" s="206"/>
    </row>
    <row r="8" spans="2:6" ht="15.6" thickTop="1" thickBot="1" x14ac:dyDescent="0.35"/>
    <row r="9" spans="2:6" ht="15.6" thickTop="1" thickBot="1" x14ac:dyDescent="0.35">
      <c r="C9" s="208" t="s">
        <v>84</v>
      </c>
      <c r="D9" s="235" t="s">
        <v>99</v>
      </c>
      <c r="E9" s="235" t="s">
        <v>100</v>
      </c>
      <c r="F9" s="209" t="s">
        <v>85</v>
      </c>
    </row>
    <row r="10" spans="2:6" ht="15" thickTop="1" x14ac:dyDescent="0.3">
      <c r="C10" s="210"/>
      <c r="D10" s="211"/>
      <c r="E10" s="211"/>
      <c r="F10" s="201" t="str">
        <f>IF(OR(D10&lt;&gt;0,E10&lt;&gt;0),PBal-D10+E10,"")</f>
        <v/>
      </c>
    </row>
    <row r="11" spans="2:6" x14ac:dyDescent="0.3">
      <c r="C11" s="212"/>
      <c r="D11" s="213"/>
      <c r="E11" s="213"/>
      <c r="F11" s="214" t="str">
        <f>IF(OR(D11&lt;&gt;0,E11&lt;&gt;0),F10-D11+E11,"")</f>
        <v/>
      </c>
    </row>
    <row r="12" spans="2:6" x14ac:dyDescent="0.3">
      <c r="C12" s="212"/>
      <c r="D12" s="213"/>
      <c r="E12" s="213"/>
      <c r="F12" s="214" t="str">
        <f t="shared" ref="F12:F34" si="0">IF(OR(D12&lt;&gt;0,E12&lt;&gt;0),F11-D12+E12,"")</f>
        <v/>
      </c>
    </row>
    <row r="13" spans="2:6" x14ac:dyDescent="0.3">
      <c r="C13" s="212"/>
      <c r="D13" s="213"/>
      <c r="E13" s="213"/>
      <c r="F13" s="214" t="str">
        <f t="shared" si="0"/>
        <v/>
      </c>
    </row>
    <row r="14" spans="2:6" x14ac:dyDescent="0.3">
      <c r="C14" s="212"/>
      <c r="D14" s="213"/>
      <c r="E14" s="213"/>
      <c r="F14" s="214" t="str">
        <f t="shared" si="0"/>
        <v/>
      </c>
    </row>
    <row r="15" spans="2:6" x14ac:dyDescent="0.3">
      <c r="C15" s="212"/>
      <c r="D15" s="213"/>
      <c r="E15" s="213"/>
      <c r="F15" s="214" t="str">
        <f t="shared" si="0"/>
        <v/>
      </c>
    </row>
    <row r="16" spans="2:6" x14ac:dyDescent="0.3">
      <c r="C16" s="212"/>
      <c r="D16" s="213"/>
      <c r="E16" s="213"/>
      <c r="F16" s="214" t="str">
        <f t="shared" si="0"/>
        <v/>
      </c>
    </row>
    <row r="17" spans="3:6" x14ac:dyDescent="0.3">
      <c r="C17" s="212"/>
      <c r="D17" s="213"/>
      <c r="E17" s="213"/>
      <c r="F17" s="214" t="str">
        <f t="shared" si="0"/>
        <v/>
      </c>
    </row>
    <row r="18" spans="3:6" x14ac:dyDescent="0.3">
      <c r="C18" s="212"/>
      <c r="D18" s="213"/>
      <c r="E18" s="213"/>
      <c r="F18" s="214" t="str">
        <f t="shared" si="0"/>
        <v/>
      </c>
    </row>
    <row r="19" spans="3:6" x14ac:dyDescent="0.3">
      <c r="C19" s="212"/>
      <c r="D19" s="213"/>
      <c r="E19" s="213"/>
      <c r="F19" s="214" t="str">
        <f t="shared" si="0"/>
        <v/>
      </c>
    </row>
    <row r="20" spans="3:6" x14ac:dyDescent="0.3">
      <c r="C20" s="212"/>
      <c r="D20" s="213"/>
      <c r="E20" s="213"/>
      <c r="F20" s="214" t="str">
        <f t="shared" si="0"/>
        <v/>
      </c>
    </row>
    <row r="21" spans="3:6" x14ac:dyDescent="0.3">
      <c r="C21" s="212"/>
      <c r="D21" s="213"/>
      <c r="E21" s="213"/>
      <c r="F21" s="214" t="str">
        <f t="shared" si="0"/>
        <v/>
      </c>
    </row>
    <row r="22" spans="3:6" x14ac:dyDescent="0.3">
      <c r="C22" s="212"/>
      <c r="D22" s="213"/>
      <c r="E22" s="213"/>
      <c r="F22" s="214" t="str">
        <f t="shared" si="0"/>
        <v/>
      </c>
    </row>
    <row r="23" spans="3:6" x14ac:dyDescent="0.3">
      <c r="C23" s="212"/>
      <c r="D23" s="213"/>
      <c r="E23" s="213"/>
      <c r="F23" s="214" t="str">
        <f t="shared" si="0"/>
        <v/>
      </c>
    </row>
    <row r="24" spans="3:6" x14ac:dyDescent="0.3">
      <c r="C24" s="212"/>
      <c r="D24" s="213"/>
      <c r="E24" s="213"/>
      <c r="F24" s="214" t="str">
        <f t="shared" si="0"/>
        <v/>
      </c>
    </row>
    <row r="25" spans="3:6" x14ac:dyDescent="0.3">
      <c r="C25" s="212"/>
      <c r="D25" s="213"/>
      <c r="E25" s="213"/>
      <c r="F25" s="214" t="str">
        <f t="shared" si="0"/>
        <v/>
      </c>
    </row>
    <row r="26" spans="3:6" x14ac:dyDescent="0.3">
      <c r="C26" s="212"/>
      <c r="D26" s="213"/>
      <c r="E26" s="213"/>
      <c r="F26" s="214" t="str">
        <f t="shared" si="0"/>
        <v/>
      </c>
    </row>
    <row r="27" spans="3:6" x14ac:dyDescent="0.3">
      <c r="C27" s="212"/>
      <c r="D27" s="213"/>
      <c r="E27" s="213"/>
      <c r="F27" s="214" t="str">
        <f t="shared" si="0"/>
        <v/>
      </c>
    </row>
    <row r="28" spans="3:6" x14ac:dyDescent="0.3">
      <c r="C28" s="212"/>
      <c r="D28" s="213"/>
      <c r="E28" s="213"/>
      <c r="F28" s="214" t="str">
        <f t="shared" si="0"/>
        <v/>
      </c>
    </row>
    <row r="29" spans="3:6" x14ac:dyDescent="0.3">
      <c r="C29" s="212"/>
      <c r="D29" s="213"/>
      <c r="E29" s="213"/>
      <c r="F29" s="214" t="str">
        <f t="shared" si="0"/>
        <v/>
      </c>
    </row>
    <row r="30" spans="3:6" x14ac:dyDescent="0.3">
      <c r="C30" s="212"/>
      <c r="D30" s="213"/>
      <c r="E30" s="213"/>
      <c r="F30" s="214" t="str">
        <f t="shared" si="0"/>
        <v/>
      </c>
    </row>
    <row r="31" spans="3:6" x14ac:dyDescent="0.3">
      <c r="C31" s="212"/>
      <c r="D31" s="213"/>
      <c r="E31" s="213"/>
      <c r="F31" s="214" t="str">
        <f t="shared" si="0"/>
        <v/>
      </c>
    </row>
    <row r="32" spans="3:6" x14ac:dyDescent="0.3">
      <c r="C32" s="212"/>
      <c r="D32" s="213"/>
      <c r="E32" s="213"/>
      <c r="F32" s="214" t="str">
        <f t="shared" si="0"/>
        <v/>
      </c>
    </row>
    <row r="33" spans="3:6" x14ac:dyDescent="0.3">
      <c r="C33" s="212"/>
      <c r="D33" s="213"/>
      <c r="E33" s="213"/>
      <c r="F33" s="214" t="str">
        <f t="shared" si="0"/>
        <v/>
      </c>
    </row>
    <row r="34" spans="3:6" ht="15" thickBot="1" x14ac:dyDescent="0.35">
      <c r="C34" s="215"/>
      <c r="D34" s="216"/>
      <c r="E34" s="216"/>
      <c r="F34" s="203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67" t="str">
        <f>Location &amp;" Roadblock, Stock Totals - "&amp; Month &amp; ", " &amp; Year</f>
        <v>OODLA WIRRA Roadblock, Stock Totals - July, 2021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68" t="s">
        <v>24</v>
      </c>
      <c r="D5" s="64"/>
    </row>
    <row r="6" spans="1:6" x14ac:dyDescent="0.25">
      <c r="C6" s="69" t="s">
        <v>25</v>
      </c>
      <c r="D6" s="65"/>
    </row>
    <row r="7" spans="1:6" x14ac:dyDescent="0.25">
      <c r="C7" s="69" t="s">
        <v>26</v>
      </c>
      <c r="D7" s="65"/>
    </row>
    <row r="8" spans="1:6" ht="13.8" thickBot="1" x14ac:dyDescent="0.3">
      <c r="C8" s="70" t="s">
        <v>27</v>
      </c>
      <c r="D8" s="66"/>
    </row>
    <row r="9" spans="1:6" ht="16.8" thickTop="1" thickBot="1" x14ac:dyDescent="0.35">
      <c r="C9" s="71" t="s">
        <v>28</v>
      </c>
      <c r="D9" s="72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78"/>
      <c r="F5" s="78"/>
      <c r="H5" s="58" t="str">
        <f xml:space="preserve"> Location &amp; " - Quarantine Inspection Station"</f>
        <v>OODLA WIRRA - Quarantine Inspection Station</v>
      </c>
      <c r="I5" s="78"/>
      <c r="J5" s="78"/>
    </row>
    <row r="6" spans="3:13" ht="5.25" customHeight="1" x14ac:dyDescent="0.25">
      <c r="E6" s="77"/>
      <c r="F6" s="77"/>
      <c r="H6" s="58"/>
      <c r="I6" s="77"/>
      <c r="J6" s="77"/>
    </row>
    <row r="7" spans="3:13" ht="15.6" x14ac:dyDescent="0.25">
      <c r="E7" s="77"/>
      <c r="F7" s="77"/>
      <c r="H7" s="58" t="str">
        <f xml:space="preserve"> Month &amp; ", " &amp; Year &amp; " - Monthly Report"</f>
        <v>July, 2021 - Monthly Report</v>
      </c>
      <c r="I7" s="77"/>
      <c r="J7" s="77"/>
    </row>
    <row r="8" spans="3:13" ht="7.5" customHeight="1" thickBot="1" x14ac:dyDescent="0.35">
      <c r="C8" s="75"/>
      <c r="D8" s="75"/>
      <c r="E8" s="76"/>
      <c r="F8" s="75"/>
      <c r="G8" s="75"/>
      <c r="H8" s="75"/>
      <c r="I8" s="75"/>
      <c r="J8" s="75"/>
      <c r="K8" s="75"/>
      <c r="L8" s="75"/>
      <c r="M8" s="75"/>
    </row>
    <row r="9" spans="3:13" ht="8.25" customHeight="1" thickTop="1" x14ac:dyDescent="0.25">
      <c r="E9" s="38"/>
    </row>
    <row r="10" spans="3:13" ht="15.6" x14ac:dyDescent="0.3">
      <c r="E10" s="79" t="s">
        <v>42</v>
      </c>
    </row>
    <row r="11" spans="3:13" ht="6" customHeight="1" thickBot="1" x14ac:dyDescent="0.3">
      <c r="E11" s="38"/>
    </row>
    <row r="12" spans="3:13" ht="15.6" thickBot="1" x14ac:dyDescent="0.3">
      <c r="G12" s="73" t="s">
        <v>95</v>
      </c>
      <c r="H12" s="232">
        <f>TotalCars + TotalCommVehicles +TotalCaravans</f>
        <v>0</v>
      </c>
      <c r="K12" s="73" t="s">
        <v>29</v>
      </c>
      <c r="L12" s="232">
        <f>TotalVehicles + PrevTotalVehicles</f>
        <v>0</v>
      </c>
    </row>
    <row r="13" spans="3:13" ht="15.6" thickBot="1" x14ac:dyDescent="0.3">
      <c r="G13" s="73"/>
      <c r="H13" s="271"/>
      <c r="K13" s="73"/>
      <c r="L13" s="271"/>
    </row>
    <row r="14" spans="3:13" ht="15.6" thickBot="1" x14ac:dyDescent="0.3">
      <c r="G14" s="73" t="s">
        <v>94</v>
      </c>
      <c r="H14" s="232">
        <f>TotalCars</f>
        <v>0</v>
      </c>
      <c r="K14" s="73" t="s">
        <v>29</v>
      </c>
      <c r="L14" s="232">
        <f>TotalCars+PrevTotalCars</f>
        <v>0</v>
      </c>
    </row>
    <row r="15" spans="3:13" ht="15.6" thickBot="1" x14ac:dyDescent="0.3">
      <c r="G15" s="73"/>
      <c r="H15" s="271"/>
      <c r="K15" s="73"/>
      <c r="L15" s="271"/>
    </row>
    <row r="16" spans="3:13" ht="15.6" thickBot="1" x14ac:dyDescent="0.3">
      <c r="G16" s="73" t="s">
        <v>109</v>
      </c>
      <c r="H16" s="232">
        <f>TotalCaravans</f>
        <v>0</v>
      </c>
      <c r="K16" s="73" t="s">
        <v>29</v>
      </c>
      <c r="L16" s="232">
        <f>TotalCaravans+PrevTotalCaravans</f>
        <v>0</v>
      </c>
    </row>
    <row r="17" spans="3:13" ht="15.6" thickBot="1" x14ac:dyDescent="0.3">
      <c r="G17" s="73"/>
      <c r="H17" s="272"/>
      <c r="K17" s="74"/>
      <c r="L17" s="273"/>
    </row>
    <row r="18" spans="3:13" ht="15.6" thickBot="1" x14ac:dyDescent="0.3">
      <c r="G18" s="73" t="s">
        <v>30</v>
      </c>
      <c r="H18" s="232">
        <f xml:space="preserve"> TotalCommVehicles</f>
        <v>0</v>
      </c>
      <c r="K18" s="73" t="s">
        <v>29</v>
      </c>
      <c r="L18" s="232">
        <f>TotalCommVehicles+PrevTotalCommVehicles</f>
        <v>0</v>
      </c>
    </row>
    <row r="19" spans="3:13" ht="15.6" thickBot="1" x14ac:dyDescent="0.3">
      <c r="G19" s="73"/>
      <c r="H19" s="272"/>
      <c r="K19" s="74"/>
      <c r="L19" s="273"/>
    </row>
    <row r="20" spans="3:13" ht="15.6" thickBot="1" x14ac:dyDescent="0.3">
      <c r="G20" s="73" t="s">
        <v>31</v>
      </c>
      <c r="H20" s="232">
        <f xml:space="preserve"> TotalVehiclesWF</f>
        <v>0</v>
      </c>
      <c r="K20" s="73" t="s">
        <v>29</v>
      </c>
      <c r="L20" s="232">
        <f>TotalVehiclesWF+PrevTotalVehiclesWF</f>
        <v>0</v>
      </c>
    </row>
    <row r="21" spans="3:13" ht="15.6" thickBot="1" x14ac:dyDescent="0.3">
      <c r="G21" s="73"/>
      <c r="H21" s="272"/>
      <c r="K21" s="74"/>
      <c r="L21" s="273"/>
    </row>
    <row r="22" spans="3:13" ht="15.6" thickBot="1" x14ac:dyDescent="0.3">
      <c r="G22" s="73" t="s">
        <v>32</v>
      </c>
      <c r="H22" s="232">
        <f>TotalFruitConfiscated</f>
        <v>0</v>
      </c>
      <c r="K22" s="73" t="s">
        <v>29</v>
      </c>
      <c r="L22" s="232">
        <f>TotalFruitConfiscated+PrevTotalFruitConfiscated</f>
        <v>0</v>
      </c>
    </row>
    <row r="23" spans="3:13" ht="6.75" customHeight="1" x14ac:dyDescent="0.3">
      <c r="G23" s="73"/>
      <c r="H23" s="84"/>
      <c r="K23" s="73"/>
      <c r="L23" s="85"/>
    </row>
    <row r="24" spans="3:13" ht="4.5" customHeight="1" x14ac:dyDescent="0.25">
      <c r="C24" s="81"/>
      <c r="D24" s="81"/>
      <c r="E24" s="81"/>
      <c r="F24" s="81"/>
      <c r="G24" s="82"/>
      <c r="H24" s="81"/>
      <c r="I24" s="81"/>
      <c r="J24" s="81"/>
      <c r="K24" s="82"/>
      <c r="L24" s="82"/>
      <c r="M24" s="81"/>
    </row>
    <row r="25" spans="3:13" ht="6.75" customHeight="1" x14ac:dyDescent="0.25">
      <c r="G25" s="73"/>
      <c r="K25" s="73"/>
      <c r="L25" s="73"/>
    </row>
    <row r="26" spans="3:13" ht="15.6" x14ac:dyDescent="0.3">
      <c r="E26" s="79" t="s">
        <v>38</v>
      </c>
      <c r="I26" s="38"/>
    </row>
    <row r="27" spans="3:13" ht="9.75" customHeight="1" thickBot="1" x14ac:dyDescent="0.3">
      <c r="E27" s="38"/>
      <c r="K27" s="84"/>
    </row>
    <row r="28" spans="3:13" ht="15.6" thickBot="1" x14ac:dyDescent="0.3">
      <c r="E28" s="73" t="s">
        <v>40</v>
      </c>
      <c r="F28" s="80">
        <f>FFlyHostFruit</f>
        <v>0</v>
      </c>
      <c r="K28" s="73" t="s">
        <v>29</v>
      </c>
      <c r="L28" s="80">
        <f>PrevTotalHostFruit + FFlyHostFruit</f>
        <v>0</v>
      </c>
    </row>
    <row r="29" spans="3:13" ht="10.5" customHeight="1" thickBot="1" x14ac:dyDescent="0.3">
      <c r="E29" s="73"/>
    </row>
    <row r="30" spans="3:13" ht="15.6" thickBot="1" x14ac:dyDescent="0.3">
      <c r="E30" s="73" t="s">
        <v>39</v>
      </c>
      <c r="F30" s="80">
        <f>NonFFlyHostFruit</f>
        <v>0</v>
      </c>
      <c r="K30" s="73" t="s">
        <v>29</v>
      </c>
      <c r="L30" s="80">
        <f>NonFFlyHostFruit + PrevTotalNonHostFruit</f>
        <v>0</v>
      </c>
    </row>
    <row r="31" spans="3:13" ht="4.5" customHeight="1" x14ac:dyDescent="0.25">
      <c r="C31" s="81"/>
      <c r="D31" s="81"/>
      <c r="E31" s="81"/>
      <c r="F31" s="81"/>
      <c r="G31" s="82"/>
      <c r="H31" s="81"/>
      <c r="I31" s="81"/>
      <c r="J31" s="81"/>
      <c r="K31" s="81"/>
      <c r="L31" s="81"/>
      <c r="M31" s="81"/>
    </row>
    <row r="32" spans="3:13" ht="7.5" customHeight="1" x14ac:dyDescent="0.25"/>
    <row r="33" spans="3:13" ht="15.6" x14ac:dyDescent="0.3">
      <c r="E33" s="86" t="s">
        <v>41</v>
      </c>
    </row>
    <row r="34" spans="3:13" ht="15.6" thickBot="1" x14ac:dyDescent="0.3">
      <c r="E34" s="38"/>
    </row>
    <row r="35" spans="3:13" ht="15.6" thickBot="1" x14ac:dyDescent="0.3">
      <c r="E35" s="73" t="s">
        <v>33</v>
      </c>
      <c r="F35" s="232">
        <f>Sheep</f>
        <v>0</v>
      </c>
      <c r="K35" s="73" t="s">
        <v>29</v>
      </c>
      <c r="L35" s="275">
        <f>PrevSheep + Sheep</f>
        <v>0</v>
      </c>
    </row>
    <row r="36" spans="3:13" ht="8.4" customHeight="1" thickBot="1" x14ac:dyDescent="0.3">
      <c r="E36" s="73"/>
      <c r="F36" s="272"/>
      <c r="K36" s="74"/>
      <c r="L36" s="272"/>
    </row>
    <row r="37" spans="3:13" ht="15.6" thickBot="1" x14ac:dyDescent="0.3">
      <c r="E37" s="73" t="s">
        <v>34</v>
      </c>
      <c r="F37" s="232">
        <f>Cattle</f>
        <v>0</v>
      </c>
      <c r="K37" s="73" t="s">
        <v>29</v>
      </c>
      <c r="L37" s="275">
        <f>PrevCattle + Cattle</f>
        <v>0</v>
      </c>
    </row>
    <row r="38" spans="3:13" ht="8.4" customHeight="1" thickBot="1" x14ac:dyDescent="0.3">
      <c r="E38" s="73"/>
      <c r="F38" s="272"/>
      <c r="K38" s="74"/>
      <c r="L38" s="272"/>
    </row>
    <row r="39" spans="3:13" ht="15.6" thickBot="1" x14ac:dyDescent="0.3">
      <c r="E39" s="73" t="s">
        <v>35</v>
      </c>
      <c r="F39" s="232">
        <f xml:space="preserve"> Pigs</f>
        <v>0</v>
      </c>
      <c r="K39" s="73" t="s">
        <v>29</v>
      </c>
      <c r="L39" s="275">
        <f>PrevPigs + Pigs</f>
        <v>0</v>
      </c>
    </row>
    <row r="40" spans="3:13" ht="8.4" customHeight="1" thickBot="1" x14ac:dyDescent="0.3">
      <c r="E40" s="73"/>
      <c r="F40" s="272"/>
      <c r="K40" s="74"/>
      <c r="L40" s="272"/>
    </row>
    <row r="41" spans="3:13" ht="15.6" thickBot="1" x14ac:dyDescent="0.3">
      <c r="E41" s="73" t="s">
        <v>36</v>
      </c>
      <c r="F41" s="232">
        <f>Other</f>
        <v>0</v>
      </c>
      <c r="K41" s="73" t="s">
        <v>29</v>
      </c>
      <c r="L41" s="275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81"/>
      <c r="D43" s="81"/>
      <c r="E43" s="83"/>
      <c r="F43" s="81"/>
      <c r="G43" s="81"/>
      <c r="H43" s="81"/>
      <c r="I43" s="81"/>
      <c r="J43" s="81"/>
      <c r="K43" s="81"/>
      <c r="L43" s="81"/>
      <c r="M43" s="81"/>
    </row>
    <row r="44" spans="3:13" ht="6.75" customHeight="1" x14ac:dyDescent="0.25">
      <c r="E44" s="38"/>
    </row>
    <row r="45" spans="3:13" ht="15.6" x14ac:dyDescent="0.3">
      <c r="E45" s="86" t="s">
        <v>88</v>
      </c>
    </row>
    <row r="46" spans="3:13" ht="9.75" customHeight="1" thickBot="1" x14ac:dyDescent="0.3">
      <c r="E46" s="38"/>
    </row>
    <row r="47" spans="3:13" ht="15.6" thickBot="1" x14ac:dyDescent="0.3">
      <c r="E47" s="73" t="s">
        <v>89</v>
      </c>
      <c r="F47" s="274">
        <v>0</v>
      </c>
      <c r="K47" s="73" t="s">
        <v>29</v>
      </c>
      <c r="L47" s="275">
        <f>PrevFruitFly + FruitFly</f>
        <v>0</v>
      </c>
    </row>
    <row r="48" spans="3:13" ht="7.5" customHeight="1" x14ac:dyDescent="0.25">
      <c r="E48" s="73"/>
      <c r="K48" s="73"/>
    </row>
    <row r="49" spans="3:13" ht="9" customHeight="1" x14ac:dyDescent="0.25">
      <c r="C49" s="258"/>
      <c r="D49" s="258"/>
      <c r="E49" s="259"/>
      <c r="F49" s="258"/>
      <c r="G49" s="258"/>
      <c r="H49" s="258"/>
      <c r="I49" s="258"/>
      <c r="J49" s="258"/>
      <c r="K49" s="259"/>
      <c r="L49" s="258"/>
      <c r="M49" s="258"/>
    </row>
    <row r="50" spans="3:13" ht="14.25" customHeight="1" x14ac:dyDescent="0.3">
      <c r="E50" s="86" t="s">
        <v>103</v>
      </c>
      <c r="K50" s="73"/>
    </row>
    <row r="51" spans="3:13" ht="9" customHeight="1" thickBot="1" x14ac:dyDescent="0.3">
      <c r="E51" s="73"/>
      <c r="K51" s="73"/>
    </row>
    <row r="52" spans="3:13" ht="15" customHeight="1" thickBot="1" x14ac:dyDescent="0.3">
      <c r="E52" s="73" t="s">
        <v>104</v>
      </c>
      <c r="F52" s="221">
        <f>MAX(ShiftStatsTotal)</f>
        <v>0</v>
      </c>
      <c r="H52" s="260" t="s">
        <v>105</v>
      </c>
      <c r="I52" s="221">
        <f>MAX(Shifts)</f>
        <v>0</v>
      </c>
      <c r="K52" s="73" t="s">
        <v>106</v>
      </c>
      <c r="L52" s="221">
        <f>COUNTIF(ShiftStats,"&gt;199")</f>
        <v>31</v>
      </c>
    </row>
    <row r="53" spans="3:13" ht="9" customHeight="1" x14ac:dyDescent="0.25">
      <c r="E53" s="73"/>
      <c r="K53" s="73"/>
    </row>
    <row r="54" spans="3:13" ht="3" customHeight="1" x14ac:dyDescent="0.25">
      <c r="C54" s="81"/>
      <c r="D54" s="81"/>
      <c r="E54" s="82"/>
      <c r="F54" s="81"/>
      <c r="G54" s="81"/>
      <c r="H54" s="81"/>
      <c r="I54" s="81"/>
      <c r="J54" s="81"/>
      <c r="K54" s="82"/>
      <c r="L54" s="81"/>
      <c r="M54" s="81"/>
    </row>
    <row r="55" spans="3:13" ht="15" x14ac:dyDescent="0.25">
      <c r="E55" s="38"/>
    </row>
    <row r="56" spans="3:13" ht="15.6" x14ac:dyDescent="0.3">
      <c r="E56" s="86" t="s">
        <v>43</v>
      </c>
    </row>
    <row r="57" spans="3:13" ht="13.8" thickBot="1" x14ac:dyDescent="0.3">
      <c r="D57" t="s">
        <v>37</v>
      </c>
    </row>
    <row r="58" spans="3:13" x14ac:dyDescent="0.25">
      <c r="D58" s="356"/>
      <c r="E58" s="357"/>
      <c r="F58" s="357"/>
      <c r="G58" s="357"/>
      <c r="H58" s="357"/>
      <c r="I58" s="357"/>
      <c r="J58" s="357"/>
      <c r="K58" s="357"/>
      <c r="L58" s="358"/>
    </row>
    <row r="59" spans="3:13" x14ac:dyDescent="0.25">
      <c r="D59" s="359"/>
      <c r="E59" s="360"/>
      <c r="F59" s="360"/>
      <c r="G59" s="360"/>
      <c r="H59" s="360"/>
      <c r="I59" s="360"/>
      <c r="J59" s="360"/>
      <c r="K59" s="360"/>
      <c r="L59" s="361"/>
    </row>
    <row r="60" spans="3:13" x14ac:dyDescent="0.25">
      <c r="D60" s="359"/>
      <c r="E60" s="360"/>
      <c r="F60" s="360"/>
      <c r="G60" s="360"/>
      <c r="H60" s="360"/>
      <c r="I60" s="360"/>
      <c r="J60" s="360"/>
      <c r="K60" s="360"/>
      <c r="L60" s="361"/>
    </row>
    <row r="61" spans="3:13" x14ac:dyDescent="0.25">
      <c r="D61" s="359"/>
      <c r="E61" s="360"/>
      <c r="F61" s="360"/>
      <c r="G61" s="360"/>
      <c r="H61" s="360"/>
      <c r="I61" s="360"/>
      <c r="J61" s="360"/>
      <c r="K61" s="360"/>
      <c r="L61" s="361"/>
    </row>
    <row r="62" spans="3:13" x14ac:dyDescent="0.25">
      <c r="D62" s="359"/>
      <c r="E62" s="360"/>
      <c r="F62" s="360"/>
      <c r="G62" s="360"/>
      <c r="H62" s="360"/>
      <c r="I62" s="360"/>
      <c r="J62" s="360"/>
      <c r="K62" s="360"/>
      <c r="L62" s="361"/>
    </row>
    <row r="63" spans="3:13" x14ac:dyDescent="0.25">
      <c r="D63" s="359"/>
      <c r="E63" s="360"/>
      <c r="F63" s="360"/>
      <c r="G63" s="360"/>
      <c r="H63" s="360"/>
      <c r="I63" s="360"/>
      <c r="J63" s="360"/>
      <c r="K63" s="360"/>
      <c r="L63" s="361"/>
    </row>
    <row r="64" spans="3:13" x14ac:dyDescent="0.25">
      <c r="D64" s="359"/>
      <c r="E64" s="360"/>
      <c r="F64" s="360"/>
      <c r="G64" s="360"/>
      <c r="H64" s="360"/>
      <c r="I64" s="360"/>
      <c r="J64" s="360"/>
      <c r="K64" s="360"/>
      <c r="L64" s="361"/>
    </row>
    <row r="65" spans="3:13" x14ac:dyDescent="0.25">
      <c r="D65" s="359"/>
      <c r="E65" s="360"/>
      <c r="F65" s="360"/>
      <c r="G65" s="360"/>
      <c r="H65" s="360"/>
      <c r="I65" s="360"/>
      <c r="J65" s="360"/>
      <c r="K65" s="360"/>
      <c r="L65" s="361"/>
    </row>
    <row r="66" spans="3:13" x14ac:dyDescent="0.25">
      <c r="D66" s="359"/>
      <c r="E66" s="360"/>
      <c r="F66" s="360"/>
      <c r="G66" s="360"/>
      <c r="H66" s="360"/>
      <c r="I66" s="360"/>
      <c r="J66" s="360"/>
      <c r="K66" s="360"/>
      <c r="L66" s="361"/>
    </row>
    <row r="67" spans="3:13" x14ac:dyDescent="0.25">
      <c r="D67" s="359"/>
      <c r="E67" s="360"/>
      <c r="F67" s="360"/>
      <c r="G67" s="360"/>
      <c r="H67" s="360"/>
      <c r="I67" s="360"/>
      <c r="J67" s="360"/>
      <c r="K67" s="360"/>
      <c r="L67" s="361"/>
    </row>
    <row r="68" spans="3:13" ht="13.8" thickBot="1" x14ac:dyDescent="0.3">
      <c r="D68" s="362"/>
      <c r="E68" s="363"/>
      <c r="F68" s="363"/>
      <c r="G68" s="363"/>
      <c r="H68" s="363"/>
      <c r="I68" s="363"/>
      <c r="J68" s="363"/>
      <c r="K68" s="363"/>
      <c r="L68" s="364"/>
    </row>
    <row r="69" spans="3:13" ht="13.8" x14ac:dyDescent="0.25">
      <c r="D69" s="223"/>
      <c r="E69" s="223"/>
      <c r="F69" s="223"/>
      <c r="G69" s="223"/>
      <c r="H69" s="223"/>
      <c r="I69" s="223"/>
      <c r="J69" s="223"/>
      <c r="K69" s="223"/>
      <c r="L69" s="223"/>
    </row>
    <row r="70" spans="3:13" ht="13.8" x14ac:dyDescent="0.25">
      <c r="D70" s="223"/>
      <c r="E70" s="223"/>
      <c r="F70" s="223"/>
      <c r="G70" s="223"/>
      <c r="H70" s="223"/>
      <c r="I70" s="223"/>
      <c r="J70" s="223"/>
      <c r="K70" s="223"/>
      <c r="L70" s="223"/>
    </row>
    <row r="71" spans="3:13" ht="13.8" x14ac:dyDescent="0.25">
      <c r="D71" s="223"/>
      <c r="E71" s="223"/>
      <c r="F71" s="223"/>
      <c r="G71" s="223"/>
      <c r="H71" s="223"/>
      <c r="I71" s="223"/>
      <c r="J71" s="223"/>
      <c r="K71" s="223"/>
      <c r="L71" s="223"/>
    </row>
    <row r="72" spans="3:13" x14ac:dyDescent="0.25">
      <c r="D72" s="224"/>
      <c r="E72" s="224"/>
      <c r="F72" s="224"/>
      <c r="G72" s="224"/>
      <c r="H72" s="224"/>
      <c r="I72" s="224"/>
      <c r="J72" s="224"/>
      <c r="K72" s="224"/>
      <c r="L72" s="224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tDataInput"/>
  <dimension ref="A1:CH84"/>
  <sheetViews>
    <sheetView showGridLines="0" showRowColHeaders="0" tabSelected="1" zoomScale="189" zoomScaleNormal="100" workbookViewId="0">
      <selection activeCell="E44" sqref="E4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192" customFormat="1" ht="6" customHeight="1" x14ac:dyDescent="0.25"/>
    <row r="2" spans="1:86" s="192" customFormat="1" ht="7.5" customHeight="1" x14ac:dyDescent="0.25"/>
    <row r="3" spans="1:86" s="192" customFormat="1" ht="6" customHeight="1" thickBot="1" x14ac:dyDescent="0.3"/>
    <row r="4" spans="1:86" s="192" customFormat="1" ht="14.4" thickTop="1" thickBot="1" x14ac:dyDescent="0.3">
      <c r="D4" s="198" t="s">
        <v>59</v>
      </c>
      <c r="E4" s="196">
        <v>1</v>
      </c>
      <c r="G4" s="193" t="b">
        <v>0</v>
      </c>
    </row>
    <row r="5" spans="1:86" s="192" customFormat="1" ht="21.6" customHeight="1" thickTop="1" thickBot="1" x14ac:dyDescent="0.3">
      <c r="G5" s="261" t="b">
        <v>1</v>
      </c>
    </row>
    <row r="6" spans="1:86" s="108" customFormat="1" ht="25.2" thickTop="1" thickBot="1" x14ac:dyDescent="0.3">
      <c r="A6" s="192"/>
      <c r="B6" s="192"/>
      <c r="C6" s="192"/>
      <c r="D6" s="109" t="s">
        <v>47</v>
      </c>
      <c r="E6" s="110" t="s">
        <v>1</v>
      </c>
      <c r="F6" s="110" t="s">
        <v>2</v>
      </c>
      <c r="G6" s="110" t="s">
        <v>3</v>
      </c>
      <c r="H6" s="110" t="s">
        <v>4</v>
      </c>
      <c r="I6" s="110" t="s">
        <v>5</v>
      </c>
      <c r="J6" s="110" t="s">
        <v>48</v>
      </c>
      <c r="K6" s="111" t="s">
        <v>7</v>
      </c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  <c r="AX6" s="192"/>
      <c r="AY6" s="192"/>
      <c r="AZ6" s="192"/>
      <c r="BA6" s="192"/>
      <c r="BB6" s="192"/>
      <c r="BC6" s="192"/>
      <c r="BD6" s="192"/>
      <c r="BE6" s="192"/>
      <c r="BF6" s="192"/>
      <c r="BG6" s="192"/>
      <c r="BH6" s="192"/>
      <c r="BI6" s="192"/>
      <c r="BJ6" s="192"/>
      <c r="BK6" s="192"/>
      <c r="BL6" s="192"/>
      <c r="BM6" s="192"/>
      <c r="BN6" s="192"/>
      <c r="BO6" s="192"/>
      <c r="BP6" s="192"/>
      <c r="BQ6" s="192"/>
      <c r="BR6" s="192"/>
      <c r="BS6" s="192"/>
      <c r="BT6" s="192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</row>
    <row r="7" spans="1:86" s="108" customFormat="1" ht="14.4" thickBot="1" x14ac:dyDescent="0.3">
      <c r="A7" s="192"/>
      <c r="B7" s="192"/>
      <c r="C7" s="192"/>
      <c r="D7" s="112" t="s">
        <v>49</v>
      </c>
      <c r="E7" s="122">
        <f t="shared" ref="E7:G7" si="0">E26+E44+E62</f>
        <v>0</v>
      </c>
      <c r="F7" s="122">
        <f t="shared" si="0"/>
        <v>0</v>
      </c>
      <c r="G7" s="122">
        <f t="shared" si="0"/>
        <v>0</v>
      </c>
      <c r="H7" s="122">
        <f t="shared" ref="H7:J7" si="1">H26+H44+H62</f>
        <v>0</v>
      </c>
      <c r="I7" s="122">
        <f t="shared" si="1"/>
        <v>0</v>
      </c>
      <c r="J7" s="123">
        <f t="shared" si="1"/>
        <v>0</v>
      </c>
      <c r="K7" s="116">
        <f>SUM(E7:J7)</f>
        <v>0</v>
      </c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2"/>
      <c r="AT7" s="192"/>
      <c r="AU7" s="192"/>
      <c r="AV7" s="192"/>
      <c r="AW7" s="192"/>
      <c r="AX7" s="192"/>
      <c r="AY7" s="192"/>
      <c r="AZ7" s="192"/>
      <c r="BA7" s="192"/>
      <c r="BB7" s="192"/>
      <c r="BC7" s="192"/>
      <c r="BD7" s="192"/>
      <c r="BE7" s="192"/>
      <c r="BF7" s="192"/>
      <c r="BG7" s="192"/>
      <c r="BH7" s="192"/>
      <c r="BI7" s="192"/>
      <c r="BJ7" s="192"/>
      <c r="BK7" s="192"/>
      <c r="BL7" s="192"/>
      <c r="BM7" s="192"/>
      <c r="BN7" s="192"/>
      <c r="BO7" s="192"/>
      <c r="BP7" s="192"/>
      <c r="BQ7" s="192"/>
      <c r="BR7" s="192"/>
      <c r="BS7" s="192"/>
      <c r="BT7" s="192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</row>
    <row r="8" spans="1:86" s="108" customFormat="1" ht="14.4" thickBot="1" x14ac:dyDescent="0.3">
      <c r="A8" s="192"/>
      <c r="B8" s="192"/>
      <c r="C8" s="192"/>
      <c r="D8" s="112" t="s">
        <v>50</v>
      </c>
      <c r="E8" s="122">
        <f t="shared" ref="E8:J8" si="2">E27+E45+E63</f>
        <v>0</v>
      </c>
      <c r="F8" s="122">
        <f t="shared" si="2"/>
        <v>0</v>
      </c>
      <c r="G8" s="122">
        <f t="shared" si="2"/>
        <v>0</v>
      </c>
      <c r="H8" s="122">
        <f t="shared" si="2"/>
        <v>0</v>
      </c>
      <c r="I8" s="122">
        <f t="shared" si="2"/>
        <v>0</v>
      </c>
      <c r="J8" s="123">
        <f t="shared" si="2"/>
        <v>0</v>
      </c>
      <c r="K8" s="116">
        <f t="shared" ref="K8:K17" si="3">SUM(E8:J8)</f>
        <v>0</v>
      </c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92"/>
      <c r="AM8" s="192"/>
      <c r="AN8" s="192"/>
      <c r="AO8" s="192"/>
      <c r="AP8" s="192"/>
      <c r="AQ8" s="192"/>
      <c r="AR8" s="192"/>
      <c r="AS8" s="192"/>
      <c r="AT8" s="192"/>
      <c r="AU8" s="192"/>
      <c r="AV8" s="192"/>
      <c r="AW8" s="192"/>
      <c r="AX8" s="192"/>
      <c r="AY8" s="192"/>
      <c r="AZ8" s="192"/>
      <c r="BA8" s="192"/>
      <c r="BB8" s="192"/>
      <c r="BC8" s="192"/>
      <c r="BD8" s="192"/>
      <c r="BE8" s="192"/>
      <c r="BF8" s="192"/>
      <c r="BG8" s="192"/>
      <c r="BH8" s="192"/>
      <c r="BI8" s="192"/>
      <c r="BJ8" s="192"/>
      <c r="BK8" s="192"/>
      <c r="BL8" s="192"/>
      <c r="BM8" s="192"/>
      <c r="BN8" s="192"/>
      <c r="BO8" s="192"/>
      <c r="BP8" s="192"/>
      <c r="BQ8" s="192"/>
      <c r="BR8" s="192"/>
      <c r="BS8" s="192"/>
      <c r="BT8" s="192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</row>
    <row r="9" spans="1:86" s="108" customFormat="1" ht="14.4" thickBot="1" x14ac:dyDescent="0.3">
      <c r="A9" s="192"/>
      <c r="B9" s="192"/>
      <c r="C9" s="192"/>
      <c r="D9" s="112" t="s">
        <v>107</v>
      </c>
      <c r="E9" s="122">
        <f t="shared" ref="E9:I10" si="4">E28+E46+E64</f>
        <v>0</v>
      </c>
      <c r="F9" s="122">
        <f t="shared" si="4"/>
        <v>0</v>
      </c>
      <c r="G9" s="122">
        <f t="shared" si="4"/>
        <v>0</v>
      </c>
      <c r="H9" s="122">
        <f t="shared" si="4"/>
        <v>0</v>
      </c>
      <c r="I9" s="122">
        <f t="shared" si="4"/>
        <v>0</v>
      </c>
      <c r="J9" s="123">
        <f t="shared" ref="J9:J10" si="5">J28+J46+J64</f>
        <v>0</v>
      </c>
      <c r="K9" s="116">
        <f t="shared" si="3"/>
        <v>0</v>
      </c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</row>
    <row r="10" spans="1:86" s="108" customFormat="1" ht="14.4" thickBot="1" x14ac:dyDescent="0.3">
      <c r="A10" s="192"/>
      <c r="B10" s="192"/>
      <c r="C10" s="192"/>
      <c r="D10" s="112" t="s">
        <v>50</v>
      </c>
      <c r="E10" s="122">
        <f t="shared" si="4"/>
        <v>0</v>
      </c>
      <c r="F10" s="122">
        <f t="shared" si="4"/>
        <v>0</v>
      </c>
      <c r="G10" s="122">
        <f t="shared" si="4"/>
        <v>0</v>
      </c>
      <c r="H10" s="122">
        <f t="shared" si="4"/>
        <v>0</v>
      </c>
      <c r="I10" s="122">
        <f t="shared" si="4"/>
        <v>0</v>
      </c>
      <c r="J10" s="123">
        <f t="shared" si="5"/>
        <v>0</v>
      </c>
      <c r="K10" s="116">
        <f t="shared" si="3"/>
        <v>0</v>
      </c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</row>
    <row r="11" spans="1:86" s="108" customFormat="1" ht="14.4" thickBot="1" x14ac:dyDescent="0.3">
      <c r="A11" s="192"/>
      <c r="B11" s="192"/>
      <c r="C11" s="192"/>
      <c r="D11" s="112" t="s">
        <v>51</v>
      </c>
      <c r="E11" s="122">
        <f t="shared" ref="E11:J14" si="6">E30+E48+E66</f>
        <v>0</v>
      </c>
      <c r="F11" s="122">
        <f t="shared" si="6"/>
        <v>0</v>
      </c>
      <c r="G11" s="122">
        <f t="shared" si="6"/>
        <v>0</v>
      </c>
      <c r="H11" s="122">
        <f t="shared" si="6"/>
        <v>0</v>
      </c>
      <c r="I11" s="122">
        <f t="shared" si="6"/>
        <v>0</v>
      </c>
      <c r="J11" s="123">
        <f t="shared" si="6"/>
        <v>0</v>
      </c>
      <c r="K11" s="116">
        <f t="shared" si="3"/>
        <v>0</v>
      </c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/>
      <c r="BO11" s="192"/>
      <c r="BP11" s="192"/>
      <c r="BQ11" s="192"/>
      <c r="BR11" s="192"/>
      <c r="BS11" s="192"/>
      <c r="BT11" s="192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</row>
    <row r="12" spans="1:86" s="108" customFormat="1" ht="14.4" thickBot="1" x14ac:dyDescent="0.3">
      <c r="A12" s="192"/>
      <c r="B12" s="192"/>
      <c r="C12" s="192"/>
      <c r="D12" s="112" t="s">
        <v>50</v>
      </c>
      <c r="E12" s="122">
        <f t="shared" si="6"/>
        <v>0</v>
      </c>
      <c r="F12" s="122">
        <f t="shared" si="6"/>
        <v>0</v>
      </c>
      <c r="G12" s="122">
        <f t="shared" si="6"/>
        <v>0</v>
      </c>
      <c r="H12" s="122">
        <f t="shared" si="6"/>
        <v>0</v>
      </c>
      <c r="I12" s="122">
        <f t="shared" si="6"/>
        <v>0</v>
      </c>
      <c r="J12" s="123">
        <f t="shared" si="6"/>
        <v>0</v>
      </c>
      <c r="K12" s="116">
        <f t="shared" si="3"/>
        <v>0</v>
      </c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192"/>
      <c r="BJ12" s="192"/>
      <c r="BK12" s="192"/>
      <c r="BL12" s="192"/>
      <c r="BM12" s="192"/>
      <c r="BN12" s="192"/>
      <c r="BO12" s="192"/>
      <c r="BP12" s="192"/>
      <c r="BQ12" s="192"/>
      <c r="BR12" s="192"/>
      <c r="BS12" s="192"/>
      <c r="BT12" s="192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</row>
    <row r="13" spans="1:86" s="108" customFormat="1" ht="14.4" thickBot="1" x14ac:dyDescent="0.3">
      <c r="A13" s="192"/>
      <c r="B13" s="192"/>
      <c r="C13" s="192"/>
      <c r="D13" s="112" t="s">
        <v>52</v>
      </c>
      <c r="E13" s="122">
        <f t="shared" si="6"/>
        <v>0</v>
      </c>
      <c r="F13" s="122">
        <f t="shared" si="6"/>
        <v>0</v>
      </c>
      <c r="G13" s="122">
        <f t="shared" si="6"/>
        <v>0</v>
      </c>
      <c r="H13" s="122">
        <f t="shared" si="6"/>
        <v>0</v>
      </c>
      <c r="I13" s="122">
        <f t="shared" si="6"/>
        <v>0</v>
      </c>
      <c r="J13" s="123">
        <f t="shared" si="6"/>
        <v>0</v>
      </c>
      <c r="K13" s="116">
        <f t="shared" si="3"/>
        <v>0</v>
      </c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2"/>
      <c r="BN13" s="192"/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</row>
    <row r="14" spans="1:86" s="108" customFormat="1" ht="14.4" thickBot="1" x14ac:dyDescent="0.3">
      <c r="A14" s="192"/>
      <c r="B14" s="192"/>
      <c r="C14" s="192"/>
      <c r="D14" s="112" t="s">
        <v>50</v>
      </c>
      <c r="E14" s="124">
        <f t="shared" si="6"/>
        <v>0</v>
      </c>
      <c r="F14" s="124">
        <f t="shared" si="6"/>
        <v>0</v>
      </c>
      <c r="G14" s="124">
        <f t="shared" si="6"/>
        <v>0</v>
      </c>
      <c r="H14" s="124">
        <f t="shared" si="6"/>
        <v>0</v>
      </c>
      <c r="I14" s="124">
        <f t="shared" si="6"/>
        <v>0</v>
      </c>
      <c r="J14" s="125">
        <f t="shared" si="6"/>
        <v>0</v>
      </c>
      <c r="K14" s="116">
        <f t="shared" si="3"/>
        <v>0</v>
      </c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192"/>
      <c r="BA14" s="192"/>
      <c r="BB14" s="192"/>
      <c r="BC14" s="192"/>
      <c r="BD14" s="192"/>
      <c r="BE14" s="192"/>
      <c r="BF14" s="192"/>
      <c r="BG14" s="192"/>
      <c r="BH14" s="192"/>
      <c r="BI14" s="192"/>
      <c r="BJ14" s="192"/>
      <c r="BK14" s="192"/>
      <c r="BL14" s="192"/>
      <c r="BM14" s="192"/>
      <c r="BN14" s="192"/>
      <c r="BO14" s="192"/>
      <c r="BP14" s="192"/>
      <c r="BQ14" s="192"/>
      <c r="BR14" s="192"/>
      <c r="BS14" s="192"/>
      <c r="BT14" s="192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</row>
    <row r="15" spans="1:86" s="108" customFormat="1" ht="24" x14ac:dyDescent="0.25">
      <c r="A15" s="192"/>
      <c r="B15" s="192"/>
      <c r="C15" s="192"/>
      <c r="D15" s="112" t="s">
        <v>53</v>
      </c>
      <c r="E15" s="115">
        <f>E7+E9+E11+E13</f>
        <v>0</v>
      </c>
      <c r="F15" s="115">
        <f t="shared" ref="F15:J15" si="7">F7+F9+F11+F13</f>
        <v>0</v>
      </c>
      <c r="G15" s="115">
        <f t="shared" si="7"/>
        <v>0</v>
      </c>
      <c r="H15" s="115">
        <f t="shared" si="7"/>
        <v>0</v>
      </c>
      <c r="I15" s="115">
        <f t="shared" si="7"/>
        <v>0</v>
      </c>
      <c r="J15" s="115">
        <f t="shared" si="7"/>
        <v>0</v>
      </c>
      <c r="K15" s="117">
        <f t="shared" si="3"/>
        <v>0</v>
      </c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192"/>
      <c r="BA15" s="192"/>
      <c r="BB15" s="192"/>
      <c r="BC15" s="192"/>
      <c r="BD15" s="192"/>
      <c r="BE15" s="192"/>
      <c r="BF15" s="192"/>
      <c r="BG15" s="192"/>
      <c r="BH15" s="192"/>
      <c r="BI15" s="192"/>
      <c r="BJ15" s="192"/>
      <c r="BK15" s="192"/>
      <c r="BL15" s="192"/>
      <c r="BM15" s="192"/>
      <c r="BN15" s="192"/>
      <c r="BO15" s="192"/>
      <c r="BP15" s="192"/>
      <c r="BQ15" s="192"/>
      <c r="BR15" s="192"/>
      <c r="BS15" s="192"/>
      <c r="BT15" s="192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</row>
    <row r="16" spans="1:86" s="108" customFormat="1" ht="24.6" thickBot="1" x14ac:dyDescent="0.3">
      <c r="A16" s="192"/>
      <c r="B16" s="192"/>
      <c r="C16" s="192"/>
      <c r="D16" s="113" t="s">
        <v>54</v>
      </c>
      <c r="E16" s="120">
        <f>E8+E10+E12+E14</f>
        <v>0</v>
      </c>
      <c r="F16" s="120">
        <f t="shared" ref="F16:J16" si="8">F8+F10+F12+F14</f>
        <v>0</v>
      </c>
      <c r="G16" s="120">
        <f t="shared" si="8"/>
        <v>0</v>
      </c>
      <c r="H16" s="120">
        <f t="shared" si="8"/>
        <v>0</v>
      </c>
      <c r="I16" s="120">
        <f t="shared" si="8"/>
        <v>0</v>
      </c>
      <c r="J16" s="120">
        <f t="shared" si="8"/>
        <v>0</v>
      </c>
      <c r="K16" s="116">
        <f t="shared" si="3"/>
        <v>0</v>
      </c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2"/>
      <c r="AZ16" s="192"/>
      <c r="BA16" s="192"/>
      <c r="BB16" s="192"/>
      <c r="BC16" s="192"/>
      <c r="BD16" s="192"/>
      <c r="BE16" s="192"/>
      <c r="BF16" s="192"/>
      <c r="BG16" s="192"/>
      <c r="BH16" s="192"/>
      <c r="BI16" s="192"/>
      <c r="BJ16" s="192"/>
      <c r="BK16" s="192"/>
      <c r="BL16" s="192"/>
      <c r="BM16" s="192"/>
      <c r="BN16" s="192"/>
      <c r="BO16" s="192"/>
      <c r="BP16" s="192"/>
      <c r="BQ16" s="192"/>
      <c r="BR16" s="192"/>
      <c r="BS16" s="192"/>
      <c r="BT16" s="192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</row>
    <row r="17" spans="1:86" s="108" customFormat="1" ht="24.6" thickBot="1" x14ac:dyDescent="0.3">
      <c r="A17" s="192"/>
      <c r="B17" s="192"/>
      <c r="C17" s="192"/>
      <c r="D17" s="114" t="s">
        <v>55</v>
      </c>
      <c r="E17" s="121">
        <f t="shared" ref="E17:J17" si="9">E36+E54+E72</f>
        <v>0</v>
      </c>
      <c r="F17" s="121">
        <f t="shared" si="9"/>
        <v>0</v>
      </c>
      <c r="G17" s="121">
        <f t="shared" si="9"/>
        <v>0</v>
      </c>
      <c r="H17" s="121">
        <f t="shared" si="9"/>
        <v>0</v>
      </c>
      <c r="I17" s="121">
        <f t="shared" si="9"/>
        <v>0</v>
      </c>
      <c r="J17" s="121">
        <f t="shared" si="9"/>
        <v>0</v>
      </c>
      <c r="K17" s="119">
        <f t="shared" si="3"/>
        <v>0</v>
      </c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192"/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2"/>
      <c r="AZ17" s="192"/>
      <c r="BA17" s="192"/>
      <c r="BB17" s="192"/>
      <c r="BC17" s="192"/>
      <c r="BD17" s="192"/>
      <c r="BE17" s="192"/>
      <c r="BF17" s="192"/>
      <c r="BG17" s="192"/>
      <c r="BH17" s="192"/>
      <c r="BI17" s="192"/>
      <c r="BJ17" s="192"/>
      <c r="BK17" s="192"/>
      <c r="BL17" s="192"/>
      <c r="BM17" s="192"/>
      <c r="BN17" s="192"/>
      <c r="BO17" s="192"/>
      <c r="BP17" s="192"/>
      <c r="BQ17" s="192"/>
      <c r="BR17" s="192"/>
      <c r="BS17" s="192"/>
      <c r="BT17" s="192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</row>
    <row r="18" spans="1:86" s="192" customFormat="1" ht="14.4" thickTop="1" thickBot="1" x14ac:dyDescent="0.3"/>
    <row r="19" spans="1:86" s="192" customFormat="1" ht="14.4" thickTop="1" thickBot="1" x14ac:dyDescent="0.3">
      <c r="E19" s="195" t="s">
        <v>61</v>
      </c>
      <c r="F19" s="197">
        <f>F38+F56+F74</f>
        <v>0</v>
      </c>
      <c r="I19" s="195" t="s">
        <v>60</v>
      </c>
      <c r="J19" s="197">
        <f>J38+J56+J74</f>
        <v>0</v>
      </c>
    </row>
    <row r="20" spans="1:86" s="192" customFormat="1" ht="13.8" thickTop="1" x14ac:dyDescent="0.25"/>
    <row r="21" spans="1:86" s="194" customFormat="1" ht="13.8" thickBot="1" x14ac:dyDescent="0.3"/>
    <row r="22" spans="1:86" ht="14.4" hidden="1" thickTop="1" thickBot="1" x14ac:dyDescent="0.3"/>
    <row r="23" spans="1:86" ht="25.5" hidden="1" customHeight="1" thickTop="1" x14ac:dyDescent="0.25">
      <c r="D23" s="369" t="s">
        <v>56</v>
      </c>
      <c r="H23" s="191" t="str">
        <f>TEXT(DATEVALUE(Day &amp; ", " &amp; Month &amp; ", " &amp; Year), "ddd, dd mmm, yyyy")</f>
        <v>Thu, 01 Jul, 2021</v>
      </c>
      <c r="I23" s="191"/>
      <c r="J23" s="191" t="str">
        <f>"Page " &amp; IF(chkNights = TRUE, (Day * 3) -2)</f>
        <v>Page FALSE</v>
      </c>
    </row>
    <row r="24" spans="1:86" ht="6" hidden="1" customHeight="1" thickBot="1" x14ac:dyDescent="0.3">
      <c r="D24" s="370"/>
    </row>
    <row r="25" spans="1:86" ht="25.2" hidden="1" thickTop="1" thickBot="1" x14ac:dyDescent="0.3">
      <c r="D25" s="109" t="s">
        <v>47</v>
      </c>
      <c r="E25" s="110" t="s">
        <v>1</v>
      </c>
      <c r="F25" s="110" t="s">
        <v>2</v>
      </c>
      <c r="G25" s="110" t="s">
        <v>3</v>
      </c>
      <c r="H25" s="110" t="s">
        <v>4</v>
      </c>
      <c r="I25" s="110" t="s">
        <v>5</v>
      </c>
      <c r="J25" s="110" t="s">
        <v>48</v>
      </c>
      <c r="K25" s="111" t="s">
        <v>7</v>
      </c>
    </row>
    <row r="26" spans="1:86" ht="13.8" hidden="1" x14ac:dyDescent="0.25">
      <c r="D26" s="112" t="s">
        <v>49</v>
      </c>
      <c r="E26" s="132"/>
      <c r="F26" s="133"/>
      <c r="G26" s="133"/>
      <c r="H26" s="133"/>
      <c r="I26" s="133"/>
      <c r="J26" s="134"/>
      <c r="K26" s="116">
        <f>SUM(E26:J26)</f>
        <v>0</v>
      </c>
    </row>
    <row r="27" spans="1:86" ht="13.8" hidden="1" x14ac:dyDescent="0.25">
      <c r="D27" s="112" t="s">
        <v>50</v>
      </c>
      <c r="E27" s="135"/>
      <c r="F27" s="136"/>
      <c r="G27" s="136"/>
      <c r="H27" s="136"/>
      <c r="I27" s="136"/>
      <c r="J27" s="137"/>
      <c r="K27" s="116">
        <f t="shared" ref="K27:K36" si="10">SUM(E27:J27)</f>
        <v>0</v>
      </c>
    </row>
    <row r="28" spans="1:86" ht="13.8" hidden="1" x14ac:dyDescent="0.25">
      <c r="D28" s="112" t="s">
        <v>107</v>
      </c>
      <c r="E28" s="262"/>
      <c r="F28" s="263"/>
      <c r="G28" s="263"/>
      <c r="H28" s="263"/>
      <c r="I28" s="263"/>
      <c r="J28" s="264"/>
      <c r="K28" s="116">
        <f t="shared" si="10"/>
        <v>0</v>
      </c>
    </row>
    <row r="29" spans="1:86" ht="13.8" hidden="1" x14ac:dyDescent="0.25">
      <c r="D29" s="112" t="s">
        <v>50</v>
      </c>
      <c r="E29" s="262"/>
      <c r="F29" s="263"/>
      <c r="G29" s="263"/>
      <c r="H29" s="263"/>
      <c r="I29" s="263"/>
      <c r="J29" s="264"/>
      <c r="K29" s="116">
        <f t="shared" si="10"/>
        <v>0</v>
      </c>
    </row>
    <row r="30" spans="1:86" ht="13.8" hidden="1" x14ac:dyDescent="0.25">
      <c r="D30" s="112" t="s">
        <v>51</v>
      </c>
      <c r="E30" s="135"/>
      <c r="F30" s="136"/>
      <c r="G30" s="136"/>
      <c r="H30" s="136"/>
      <c r="I30" s="136"/>
      <c r="J30" s="137"/>
      <c r="K30" s="116">
        <f t="shared" si="10"/>
        <v>0</v>
      </c>
    </row>
    <row r="31" spans="1:86" ht="13.8" hidden="1" x14ac:dyDescent="0.25">
      <c r="D31" s="112" t="s">
        <v>50</v>
      </c>
      <c r="E31" s="135"/>
      <c r="F31" s="136"/>
      <c r="G31" s="136"/>
      <c r="H31" s="136"/>
      <c r="I31" s="136"/>
      <c r="J31" s="137"/>
      <c r="K31" s="116">
        <f t="shared" si="10"/>
        <v>0</v>
      </c>
    </row>
    <row r="32" spans="1:86" ht="13.8" hidden="1" x14ac:dyDescent="0.25">
      <c r="D32" s="112" t="s">
        <v>52</v>
      </c>
      <c r="E32" s="135"/>
      <c r="F32" s="136"/>
      <c r="G32" s="136"/>
      <c r="H32" s="136"/>
      <c r="I32" s="136"/>
      <c r="J32" s="137"/>
      <c r="K32" s="116">
        <f t="shared" si="10"/>
        <v>0</v>
      </c>
    </row>
    <row r="33" spans="4:11" ht="14.4" hidden="1" thickBot="1" x14ac:dyDescent="0.3">
      <c r="D33" s="112" t="s">
        <v>50</v>
      </c>
      <c r="E33" s="138"/>
      <c r="F33" s="139"/>
      <c r="G33" s="139"/>
      <c r="H33" s="139"/>
      <c r="I33" s="139"/>
      <c r="J33" s="140"/>
      <c r="K33" s="116">
        <f t="shared" si="10"/>
        <v>0</v>
      </c>
    </row>
    <row r="34" spans="4:11" ht="24" hidden="1" x14ac:dyDescent="0.25">
      <c r="D34" s="112" t="s">
        <v>53</v>
      </c>
      <c r="E34" s="115">
        <f>E26+E28+E30+E32</f>
        <v>0</v>
      </c>
      <c r="F34" s="115">
        <f t="shared" ref="F34:J34" si="11">F26+F28+F30+F32</f>
        <v>0</v>
      </c>
      <c r="G34" s="115">
        <f t="shared" si="11"/>
        <v>0</v>
      </c>
      <c r="H34" s="115">
        <f t="shared" si="11"/>
        <v>0</v>
      </c>
      <c r="I34" s="115">
        <f t="shared" si="11"/>
        <v>0</v>
      </c>
      <c r="J34" s="115">
        <f t="shared" si="11"/>
        <v>0</v>
      </c>
      <c r="K34" s="117">
        <f t="shared" si="10"/>
        <v>0</v>
      </c>
    </row>
    <row r="35" spans="4:11" ht="24.6" hidden="1" thickBot="1" x14ac:dyDescent="0.3">
      <c r="D35" s="113" t="s">
        <v>54</v>
      </c>
      <c r="E35" s="120">
        <f>E27+E29+E31+E33</f>
        <v>0</v>
      </c>
      <c r="F35" s="120">
        <f t="shared" ref="F35:J35" si="12">F27+F29+F31+F33</f>
        <v>0</v>
      </c>
      <c r="G35" s="120">
        <f t="shared" si="12"/>
        <v>0</v>
      </c>
      <c r="H35" s="120">
        <f t="shared" si="12"/>
        <v>0</v>
      </c>
      <c r="I35" s="120">
        <f t="shared" si="12"/>
        <v>0</v>
      </c>
      <c r="J35" s="120">
        <f t="shared" si="12"/>
        <v>0</v>
      </c>
      <c r="K35" s="116">
        <f t="shared" si="10"/>
        <v>0</v>
      </c>
    </row>
    <row r="36" spans="4:11" ht="24.6" hidden="1" thickBot="1" x14ac:dyDescent="0.3">
      <c r="D36" s="114" t="s">
        <v>55</v>
      </c>
      <c r="E36" s="126"/>
      <c r="F36" s="127"/>
      <c r="G36" s="127"/>
      <c r="H36" s="127"/>
      <c r="I36" s="127"/>
      <c r="J36" s="128"/>
      <c r="K36" s="152">
        <f t="shared" si="10"/>
        <v>0</v>
      </c>
    </row>
    <row r="37" spans="4:11" ht="9" hidden="1" customHeight="1" thickTop="1" thickBot="1" x14ac:dyDescent="0.3">
      <c r="D37" s="150"/>
      <c r="E37" s="158"/>
      <c r="F37" s="158"/>
      <c r="G37" s="158"/>
      <c r="H37" s="158"/>
      <c r="I37" s="158"/>
      <c r="J37" s="158"/>
      <c r="K37" s="159"/>
    </row>
    <row r="38" spans="4:11" ht="15" hidden="1" thickTop="1" thickBot="1" x14ac:dyDescent="0.3">
      <c r="D38" s="150"/>
      <c r="E38" s="153" t="s">
        <v>61</v>
      </c>
      <c r="F38" s="174"/>
      <c r="I38" s="153" t="s">
        <v>60</v>
      </c>
      <c r="J38" s="174"/>
      <c r="K38" s="151"/>
    </row>
    <row r="39" spans="4:11" s="154" customFormat="1" ht="21.75" hidden="1" customHeight="1" thickTop="1" thickBot="1" x14ac:dyDescent="0.3">
      <c r="D39" s="155"/>
      <c r="E39" s="156"/>
      <c r="F39" s="156"/>
      <c r="G39" s="156"/>
      <c r="H39" s="156"/>
      <c r="I39" s="156"/>
      <c r="J39" s="156"/>
      <c r="K39" s="157"/>
    </row>
    <row r="40" spans="4:11" ht="14.25" customHeight="1" thickTop="1" thickBot="1" x14ac:dyDescent="0.3"/>
    <row r="41" spans="4:11" ht="25.5" customHeight="1" thickTop="1" x14ac:dyDescent="0.25">
      <c r="D41" s="365" t="s">
        <v>57</v>
      </c>
      <c r="H41" s="189" t="str">
        <f>TEXT(DATEVALUE(Day &amp; ", " &amp; Month &amp; ", " &amp; Year), "ddd, dd mmm, yyyy")</f>
        <v>Thu, 01 Jul, 2021</v>
      </c>
      <c r="I41" s="189"/>
      <c r="J41" s="189" t="str">
        <f>"Page " &amp; IF(chkNights = TRUE, (Day * 3) - 1,IF(chkAfternoons = TRUE,(Day * 2) -1, Day))</f>
        <v>Page 1</v>
      </c>
    </row>
    <row r="42" spans="4:11" ht="6" customHeight="1" thickBot="1" x14ac:dyDescent="0.3">
      <c r="D42" s="366"/>
    </row>
    <row r="43" spans="4:11" ht="25.2" thickTop="1" thickBot="1" x14ac:dyDescent="0.3">
      <c r="D43" s="109" t="s">
        <v>47</v>
      </c>
      <c r="E43" s="110" t="s">
        <v>1</v>
      </c>
      <c r="F43" s="110" t="s">
        <v>2</v>
      </c>
      <c r="G43" s="110" t="s">
        <v>3</v>
      </c>
      <c r="H43" s="110" t="s">
        <v>4</v>
      </c>
      <c r="I43" s="110" t="s">
        <v>5</v>
      </c>
      <c r="J43" s="110" t="s">
        <v>48</v>
      </c>
      <c r="K43" s="111" t="s">
        <v>7</v>
      </c>
    </row>
    <row r="44" spans="4:11" ht="13.8" x14ac:dyDescent="0.25">
      <c r="D44" s="112" t="s">
        <v>49</v>
      </c>
      <c r="E44" s="141"/>
      <c r="F44" s="142"/>
      <c r="G44" s="142"/>
      <c r="H44" s="142"/>
      <c r="I44" s="142"/>
      <c r="J44" s="143"/>
      <c r="K44" s="116">
        <f>SUM(E44:J44)</f>
        <v>0</v>
      </c>
    </row>
    <row r="45" spans="4:11" ht="13.8" x14ac:dyDescent="0.25">
      <c r="D45" s="112" t="s">
        <v>50</v>
      </c>
      <c r="E45" s="144"/>
      <c r="F45" s="145"/>
      <c r="G45" s="145"/>
      <c r="H45" s="145"/>
      <c r="I45" s="145"/>
      <c r="J45" s="146"/>
      <c r="K45" s="116">
        <f t="shared" ref="K45:K54" si="13">SUM(E45:J45)</f>
        <v>0</v>
      </c>
    </row>
    <row r="46" spans="4:11" ht="13.8" x14ac:dyDescent="0.25">
      <c r="D46" s="112" t="s">
        <v>107</v>
      </c>
      <c r="E46" s="265"/>
      <c r="F46" s="266"/>
      <c r="G46" s="266"/>
      <c r="H46" s="266"/>
      <c r="I46" s="266"/>
      <c r="J46" s="267"/>
      <c r="K46" s="116">
        <f t="shared" si="13"/>
        <v>0</v>
      </c>
    </row>
    <row r="47" spans="4:11" ht="13.8" x14ac:dyDescent="0.25">
      <c r="D47" s="112" t="s">
        <v>50</v>
      </c>
      <c r="E47" s="265"/>
      <c r="F47" s="266"/>
      <c r="G47" s="266"/>
      <c r="H47" s="266"/>
      <c r="I47" s="266"/>
      <c r="J47" s="267"/>
      <c r="K47" s="116">
        <f t="shared" si="13"/>
        <v>0</v>
      </c>
    </row>
    <row r="48" spans="4:11" ht="13.8" x14ac:dyDescent="0.25">
      <c r="D48" s="112" t="s">
        <v>51</v>
      </c>
      <c r="E48" s="144"/>
      <c r="F48" s="145"/>
      <c r="G48" s="145"/>
      <c r="H48" s="145"/>
      <c r="I48" s="145"/>
      <c r="J48" s="146"/>
      <c r="K48" s="116">
        <f t="shared" si="13"/>
        <v>0</v>
      </c>
    </row>
    <row r="49" spans="4:11" ht="13.8" x14ac:dyDescent="0.25">
      <c r="D49" s="112" t="s">
        <v>50</v>
      </c>
      <c r="E49" s="144"/>
      <c r="F49" s="145"/>
      <c r="G49" s="145"/>
      <c r="H49" s="145"/>
      <c r="I49" s="145"/>
      <c r="J49" s="146"/>
      <c r="K49" s="116">
        <f t="shared" si="13"/>
        <v>0</v>
      </c>
    </row>
    <row r="50" spans="4:11" ht="13.8" x14ac:dyDescent="0.25">
      <c r="D50" s="112" t="s">
        <v>52</v>
      </c>
      <c r="E50" s="144"/>
      <c r="F50" s="145"/>
      <c r="G50" s="145"/>
      <c r="H50" s="145"/>
      <c r="I50" s="145"/>
      <c r="J50" s="146"/>
      <c r="K50" s="116">
        <f t="shared" si="13"/>
        <v>0</v>
      </c>
    </row>
    <row r="51" spans="4:11" ht="14.4" thickBot="1" x14ac:dyDescent="0.3">
      <c r="D51" s="112" t="s">
        <v>50</v>
      </c>
      <c r="E51" s="147"/>
      <c r="F51" s="148"/>
      <c r="G51" s="148"/>
      <c r="H51" s="148"/>
      <c r="I51" s="148"/>
      <c r="J51" s="149"/>
      <c r="K51" s="116">
        <f t="shared" si="13"/>
        <v>0</v>
      </c>
    </row>
    <row r="52" spans="4:11" ht="24" x14ac:dyDescent="0.25">
      <c r="D52" s="112" t="s">
        <v>53</v>
      </c>
      <c r="E52" s="115">
        <f>E44+E46+E48+E50</f>
        <v>0</v>
      </c>
      <c r="F52" s="115">
        <f t="shared" ref="F52:J52" si="14">F44+F46+F48+F50</f>
        <v>0</v>
      </c>
      <c r="G52" s="115">
        <f t="shared" si="14"/>
        <v>0</v>
      </c>
      <c r="H52" s="115">
        <f t="shared" si="14"/>
        <v>0</v>
      </c>
      <c r="I52" s="115">
        <f t="shared" si="14"/>
        <v>0</v>
      </c>
      <c r="J52" s="115">
        <f t="shared" si="14"/>
        <v>0</v>
      </c>
      <c r="K52" s="117">
        <f t="shared" si="13"/>
        <v>0</v>
      </c>
    </row>
    <row r="53" spans="4:11" ht="24.6" thickBot="1" x14ac:dyDescent="0.3">
      <c r="D53" s="113" t="s">
        <v>54</v>
      </c>
      <c r="E53" s="120">
        <f>E45+E47+E49+E51</f>
        <v>0</v>
      </c>
      <c r="F53" s="120">
        <f t="shared" ref="F53:J53" si="15">F45+F47+F49+F51</f>
        <v>0</v>
      </c>
      <c r="G53" s="120">
        <f t="shared" si="15"/>
        <v>0</v>
      </c>
      <c r="H53" s="120">
        <f t="shared" si="15"/>
        <v>0</v>
      </c>
      <c r="I53" s="120">
        <f t="shared" si="15"/>
        <v>0</v>
      </c>
      <c r="J53" s="120">
        <f t="shared" si="15"/>
        <v>0</v>
      </c>
      <c r="K53" s="116">
        <f t="shared" si="13"/>
        <v>0</v>
      </c>
    </row>
    <row r="54" spans="4:11" ht="24.6" thickBot="1" x14ac:dyDescent="0.3">
      <c r="D54" s="114" t="s">
        <v>55</v>
      </c>
      <c r="E54" s="129"/>
      <c r="F54" s="130"/>
      <c r="G54" s="130"/>
      <c r="H54" s="130"/>
      <c r="I54" s="130"/>
      <c r="J54" s="131"/>
      <c r="K54" s="152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53" t="s">
        <v>61</v>
      </c>
      <c r="F56" s="160"/>
      <c r="I56" s="153" t="s">
        <v>60</v>
      </c>
      <c r="J56" s="160"/>
    </row>
    <row r="57" spans="4:11" s="15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367" t="s">
        <v>58</v>
      </c>
      <c r="H59" s="190" t="str">
        <f>TEXT(DATEVALUE(Day &amp; ", " &amp; Month &amp; ", " &amp; Year), "ddd, dd mmm yyyy")</f>
        <v>Thu, 01 Jul 2021</v>
      </c>
      <c r="I59" s="190"/>
      <c r="J59" s="190" t="str">
        <f>"Page " &amp; IF(chkNights = TRUE, (Day * 3), Day * 2)</f>
        <v>Page 2</v>
      </c>
    </row>
    <row r="60" spans="4:11" ht="9" customHeight="1" thickBot="1" x14ac:dyDescent="0.3">
      <c r="D60" s="368"/>
    </row>
    <row r="61" spans="4:11" ht="25.2" thickTop="1" thickBot="1" x14ac:dyDescent="0.3">
      <c r="D61" s="109" t="s">
        <v>47</v>
      </c>
      <c r="E61" s="110" t="s">
        <v>1</v>
      </c>
      <c r="F61" s="110" t="s">
        <v>2</v>
      </c>
      <c r="G61" s="110" t="s">
        <v>3</v>
      </c>
      <c r="H61" s="110" t="s">
        <v>4</v>
      </c>
      <c r="I61" s="110" t="s">
        <v>5</v>
      </c>
      <c r="J61" s="110" t="s">
        <v>48</v>
      </c>
      <c r="K61" s="111" t="s">
        <v>7</v>
      </c>
    </row>
    <row r="62" spans="4:11" ht="13.8" x14ac:dyDescent="0.25">
      <c r="D62" s="112" t="s">
        <v>49</v>
      </c>
      <c r="E62" s="165"/>
      <c r="F62" s="166"/>
      <c r="G62" s="166"/>
      <c r="H62" s="166"/>
      <c r="I62" s="166"/>
      <c r="J62" s="167"/>
      <c r="K62" s="116">
        <f>SUM(E62:J62)</f>
        <v>0</v>
      </c>
    </row>
    <row r="63" spans="4:11" ht="13.8" x14ac:dyDescent="0.25">
      <c r="D63" s="112" t="s">
        <v>50</v>
      </c>
      <c r="E63" s="168"/>
      <c r="F63" s="169"/>
      <c r="G63" s="169"/>
      <c r="H63" s="169"/>
      <c r="I63" s="169"/>
      <c r="J63" s="170"/>
      <c r="K63" s="116">
        <f t="shared" ref="K63:K72" si="16">SUM(E63:J63)</f>
        <v>0</v>
      </c>
    </row>
    <row r="64" spans="4:11" ht="13.8" x14ac:dyDescent="0.25">
      <c r="D64" s="112" t="s">
        <v>107</v>
      </c>
      <c r="E64" s="268"/>
      <c r="F64" s="269"/>
      <c r="G64" s="269"/>
      <c r="H64" s="269"/>
      <c r="I64" s="269"/>
      <c r="J64" s="270"/>
      <c r="K64" s="116">
        <f t="shared" si="16"/>
        <v>0</v>
      </c>
    </row>
    <row r="65" spans="4:15" ht="13.8" x14ac:dyDescent="0.25">
      <c r="D65" s="112" t="s">
        <v>50</v>
      </c>
      <c r="E65" s="268"/>
      <c r="F65" s="269"/>
      <c r="G65" s="269"/>
      <c r="H65" s="269"/>
      <c r="I65" s="269"/>
      <c r="J65" s="270"/>
      <c r="K65" s="116">
        <f t="shared" si="16"/>
        <v>0</v>
      </c>
    </row>
    <row r="66" spans="4:15" ht="13.8" x14ac:dyDescent="0.25">
      <c r="D66" s="112" t="s">
        <v>51</v>
      </c>
      <c r="E66" s="168"/>
      <c r="F66" s="169"/>
      <c r="G66" s="169"/>
      <c r="H66" s="169"/>
      <c r="I66" s="169"/>
      <c r="J66" s="170"/>
      <c r="K66" s="116">
        <f t="shared" si="16"/>
        <v>0</v>
      </c>
    </row>
    <row r="67" spans="4:15" ht="13.8" x14ac:dyDescent="0.25">
      <c r="D67" s="112" t="s">
        <v>50</v>
      </c>
      <c r="E67" s="168"/>
      <c r="F67" s="169"/>
      <c r="G67" s="169"/>
      <c r="H67" s="169"/>
      <c r="I67" s="169"/>
      <c r="J67" s="170"/>
      <c r="K67" s="116">
        <f t="shared" si="16"/>
        <v>0</v>
      </c>
    </row>
    <row r="68" spans="4:15" ht="13.8" x14ac:dyDescent="0.25">
      <c r="D68" s="112" t="s">
        <v>52</v>
      </c>
      <c r="E68" s="168"/>
      <c r="F68" s="169"/>
      <c r="G68" s="169"/>
      <c r="H68" s="169"/>
      <c r="I68" s="169"/>
      <c r="J68" s="170"/>
      <c r="K68" s="116">
        <f t="shared" si="16"/>
        <v>0</v>
      </c>
    </row>
    <row r="69" spans="4:15" ht="14.4" thickBot="1" x14ac:dyDescent="0.3">
      <c r="D69" s="112" t="s">
        <v>50</v>
      </c>
      <c r="E69" s="171"/>
      <c r="F69" s="172"/>
      <c r="G69" s="172"/>
      <c r="H69" s="172"/>
      <c r="I69" s="172"/>
      <c r="J69" s="173"/>
      <c r="K69" s="116">
        <f t="shared" si="16"/>
        <v>0</v>
      </c>
    </row>
    <row r="70" spans="4:15" ht="24" x14ac:dyDescent="0.25">
      <c r="D70" s="112" t="s">
        <v>53</v>
      </c>
      <c r="E70" s="115">
        <f>E62+E64+E66+E68</f>
        <v>0</v>
      </c>
      <c r="F70" s="115">
        <f t="shared" ref="F70:J70" si="17">F62+F64+F66+F68</f>
        <v>0</v>
      </c>
      <c r="G70" s="115">
        <f t="shared" si="17"/>
        <v>0</v>
      </c>
      <c r="H70" s="115">
        <f t="shared" si="17"/>
        <v>0</v>
      </c>
      <c r="I70" s="115">
        <f t="shared" si="17"/>
        <v>0</v>
      </c>
      <c r="J70" s="115">
        <f t="shared" si="17"/>
        <v>0</v>
      </c>
      <c r="K70" s="117">
        <f t="shared" si="16"/>
        <v>0</v>
      </c>
    </row>
    <row r="71" spans="4:15" ht="24.6" thickBot="1" x14ac:dyDescent="0.3">
      <c r="D71" s="113" t="s">
        <v>54</v>
      </c>
      <c r="E71" s="120">
        <f>E63+E65+E67+E69</f>
        <v>0</v>
      </c>
      <c r="F71" s="120">
        <f t="shared" ref="F71:J71" si="18">F63+F65+F67+F69</f>
        <v>0</v>
      </c>
      <c r="G71" s="120">
        <f t="shared" si="18"/>
        <v>0</v>
      </c>
      <c r="H71" s="120">
        <f t="shared" si="18"/>
        <v>0</v>
      </c>
      <c r="I71" s="120">
        <f t="shared" si="18"/>
        <v>0</v>
      </c>
      <c r="J71" s="120">
        <f t="shared" si="18"/>
        <v>0</v>
      </c>
      <c r="K71" s="116">
        <f t="shared" si="16"/>
        <v>0</v>
      </c>
    </row>
    <row r="72" spans="4:15" ht="24.6" thickBot="1" x14ac:dyDescent="0.35">
      <c r="D72" s="114" t="s">
        <v>55</v>
      </c>
      <c r="E72" s="161"/>
      <c r="F72" s="162"/>
      <c r="G72" s="162"/>
      <c r="H72" s="162"/>
      <c r="I72" s="162"/>
      <c r="J72" s="163"/>
      <c r="K72" s="152">
        <f t="shared" si="16"/>
        <v>0</v>
      </c>
      <c r="O72" s="118"/>
    </row>
    <row r="73" spans="4:15" ht="6.75" customHeight="1" thickTop="1" thickBot="1" x14ac:dyDescent="0.3"/>
    <row r="74" spans="4:15" ht="16.5" customHeight="1" thickTop="1" thickBot="1" x14ac:dyDescent="0.3">
      <c r="E74" s="153" t="s">
        <v>61</v>
      </c>
      <c r="F74" s="164"/>
      <c r="I74" s="153" t="s">
        <v>60</v>
      </c>
      <c r="J74" s="164"/>
    </row>
    <row r="75" spans="4:15" s="154" customFormat="1" ht="14.4" thickTop="1" thickBot="1" x14ac:dyDescent="0.3"/>
    <row r="84" spans="6:6" x14ac:dyDescent="0.25">
      <c r="F84" s="176">
        <v>2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 xr:uid="{00000000-0002-0000-0C00-000000000000}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160020</xdr:colOff>
                <xdr:row>58</xdr:row>
                <xdr:rowOff>0</xdr:rowOff>
              </from>
              <to>
                <xdr:col>6</xdr:col>
                <xdr:colOff>365760</xdr:colOff>
                <xdr:row>58</xdr:row>
                <xdr:rowOff>289560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121920</xdr:colOff>
                <xdr:row>39</xdr:row>
                <xdr:rowOff>0</xdr:rowOff>
              </from>
              <to>
                <xdr:col>6</xdr:col>
                <xdr:colOff>350520</xdr:colOff>
                <xdr:row>40</xdr:row>
                <xdr:rowOff>114300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178"/>
    <col min="3" max="3" width="8.5546875" style="178" customWidth="1"/>
    <col min="4" max="4" width="4.5546875" style="178" customWidth="1"/>
    <col min="5" max="5" width="14" style="178" customWidth="1"/>
    <col min="6" max="7" width="9.109375" style="178"/>
    <col min="8" max="8" width="12.44140625" style="178" customWidth="1"/>
    <col min="9" max="9" width="9.109375" style="178"/>
    <col min="10" max="10" width="12.109375" style="178" customWidth="1"/>
    <col min="11" max="11" width="9.109375" style="178"/>
    <col min="12" max="12" width="10.6640625" style="178" customWidth="1"/>
    <col min="13" max="13" width="9.109375" style="178"/>
    <col min="14" max="14" width="10.44140625" style="178" customWidth="1"/>
    <col min="15" max="15" width="9.109375" style="178"/>
    <col min="16" max="16" width="15.109375" style="178" customWidth="1"/>
    <col min="17" max="17" width="19.5546875" style="178" customWidth="1"/>
    <col min="18" max="16384" width="9.109375" style="178"/>
  </cols>
  <sheetData>
    <row r="3" spans="4:17" ht="13.8" thickBot="1" x14ac:dyDescent="0.3"/>
    <row r="4" spans="4:17" ht="14.4" thickTop="1" thickBot="1" x14ac:dyDescent="0.3">
      <c r="D4" s="371" t="s">
        <v>65</v>
      </c>
      <c r="E4" s="372"/>
      <c r="H4" s="188" t="s">
        <v>76</v>
      </c>
      <c r="J4" s="188" t="s">
        <v>77</v>
      </c>
      <c r="L4" s="188" t="s">
        <v>78</v>
      </c>
      <c r="N4" s="188" t="s">
        <v>79</v>
      </c>
      <c r="P4" s="226" t="s">
        <v>91</v>
      </c>
      <c r="Q4" s="227" t="s">
        <v>125</v>
      </c>
    </row>
    <row r="5" spans="4:17" ht="13.8" thickTop="1" x14ac:dyDescent="0.25">
      <c r="D5" s="179">
        <v>1</v>
      </c>
      <c r="E5" s="182" t="s">
        <v>66</v>
      </c>
      <c r="H5" s="185">
        <v>1</v>
      </c>
      <c r="J5" s="185">
        <v>1</v>
      </c>
      <c r="L5" s="185">
        <v>1</v>
      </c>
      <c r="N5" s="185">
        <v>1</v>
      </c>
      <c r="P5" s="228" t="s">
        <v>92</v>
      </c>
      <c r="Q5" s="229">
        <v>2021</v>
      </c>
    </row>
    <row r="6" spans="4:17" ht="13.8" thickBot="1" x14ac:dyDescent="0.3">
      <c r="D6" s="180">
        <v>2</v>
      </c>
      <c r="E6" s="183" t="s">
        <v>67</v>
      </c>
      <c r="H6" s="186">
        <v>2</v>
      </c>
      <c r="J6" s="186">
        <v>2</v>
      </c>
      <c r="L6" s="186">
        <v>2</v>
      </c>
      <c r="N6" s="186">
        <v>2</v>
      </c>
      <c r="P6" s="230" t="s">
        <v>93</v>
      </c>
      <c r="Q6" s="231" t="s">
        <v>123</v>
      </c>
    </row>
    <row r="7" spans="4:17" ht="13.8" thickTop="1" x14ac:dyDescent="0.25">
      <c r="D7" s="180">
        <v>3</v>
      </c>
      <c r="E7" s="183" t="s">
        <v>68</v>
      </c>
      <c r="H7" s="186">
        <v>3</v>
      </c>
      <c r="J7" s="186">
        <v>3</v>
      </c>
      <c r="L7" s="186">
        <v>3</v>
      </c>
      <c r="N7" s="186">
        <v>3</v>
      </c>
    </row>
    <row r="8" spans="4:17" x14ac:dyDescent="0.25">
      <c r="D8" s="180">
        <v>4</v>
      </c>
      <c r="E8" s="183" t="s">
        <v>69</v>
      </c>
      <c r="H8" s="186">
        <v>4</v>
      </c>
      <c r="J8" s="186">
        <v>4</v>
      </c>
      <c r="L8" s="186">
        <v>4</v>
      </c>
      <c r="N8" s="186">
        <v>4</v>
      </c>
    </row>
    <row r="9" spans="4:17" x14ac:dyDescent="0.25">
      <c r="D9" s="180">
        <v>5</v>
      </c>
      <c r="E9" s="183" t="s">
        <v>70</v>
      </c>
      <c r="H9" s="186">
        <v>5</v>
      </c>
      <c r="J9" s="186">
        <v>5</v>
      </c>
      <c r="L9" s="186">
        <v>5</v>
      </c>
      <c r="N9" s="186">
        <v>5</v>
      </c>
    </row>
    <row r="10" spans="4:17" x14ac:dyDescent="0.25">
      <c r="D10" s="180">
        <v>6</v>
      </c>
      <c r="E10" s="183" t="s">
        <v>71</v>
      </c>
      <c r="H10" s="186">
        <v>6</v>
      </c>
      <c r="J10" s="186">
        <v>6</v>
      </c>
      <c r="L10" s="186">
        <v>6</v>
      </c>
      <c r="N10" s="186">
        <v>6</v>
      </c>
    </row>
    <row r="11" spans="4:17" x14ac:dyDescent="0.25">
      <c r="D11" s="180">
        <v>7</v>
      </c>
      <c r="E11" s="183" t="s">
        <v>72</v>
      </c>
      <c r="H11" s="186">
        <v>7</v>
      </c>
      <c r="J11" s="186">
        <v>7</v>
      </c>
      <c r="L11" s="186">
        <v>7</v>
      </c>
      <c r="N11" s="186">
        <v>7</v>
      </c>
    </row>
    <row r="12" spans="4:17" x14ac:dyDescent="0.25">
      <c r="D12" s="180">
        <v>8</v>
      </c>
      <c r="E12" s="183" t="s">
        <v>73</v>
      </c>
      <c r="H12" s="186">
        <v>8</v>
      </c>
      <c r="J12" s="186">
        <v>8</v>
      </c>
      <c r="L12" s="186">
        <v>8</v>
      </c>
      <c r="N12" s="186">
        <v>8</v>
      </c>
    </row>
    <row r="13" spans="4:17" x14ac:dyDescent="0.25">
      <c r="D13" s="180">
        <v>9</v>
      </c>
      <c r="E13" s="183" t="s">
        <v>64</v>
      </c>
      <c r="H13" s="186">
        <v>9</v>
      </c>
      <c r="J13" s="186">
        <v>9</v>
      </c>
      <c r="L13" s="186">
        <v>9</v>
      </c>
      <c r="N13" s="186">
        <v>9</v>
      </c>
    </row>
    <row r="14" spans="4:17" x14ac:dyDescent="0.25">
      <c r="D14" s="180">
        <v>10</v>
      </c>
      <c r="E14" s="183" t="s">
        <v>63</v>
      </c>
      <c r="H14" s="186">
        <v>10</v>
      </c>
      <c r="J14" s="186">
        <v>10</v>
      </c>
      <c r="L14" s="186">
        <v>10</v>
      </c>
      <c r="N14" s="186">
        <v>10</v>
      </c>
    </row>
    <row r="15" spans="4:17" x14ac:dyDescent="0.25">
      <c r="D15" s="180">
        <v>11</v>
      </c>
      <c r="E15" s="183" t="s">
        <v>74</v>
      </c>
      <c r="H15" s="186">
        <v>11</v>
      </c>
      <c r="J15" s="186">
        <v>11</v>
      </c>
      <c r="L15" s="186">
        <v>11</v>
      </c>
      <c r="N15" s="186">
        <v>11</v>
      </c>
    </row>
    <row r="16" spans="4:17" ht="13.8" thickBot="1" x14ac:dyDescent="0.3">
      <c r="D16" s="181">
        <v>12</v>
      </c>
      <c r="E16" s="184" t="s">
        <v>75</v>
      </c>
      <c r="H16" s="186">
        <v>12</v>
      </c>
      <c r="J16" s="186">
        <v>12</v>
      </c>
      <c r="L16" s="186">
        <v>12</v>
      </c>
      <c r="N16" s="186">
        <v>12</v>
      </c>
    </row>
    <row r="17" spans="8:14" ht="13.8" thickTop="1" x14ac:dyDescent="0.25">
      <c r="H17" s="186">
        <v>13</v>
      </c>
      <c r="J17" s="186">
        <v>13</v>
      </c>
      <c r="L17" s="186">
        <v>13</v>
      </c>
      <c r="N17" s="186">
        <v>13</v>
      </c>
    </row>
    <row r="18" spans="8:14" x14ac:dyDescent="0.25">
      <c r="H18" s="186">
        <v>14</v>
      </c>
      <c r="J18" s="186">
        <v>14</v>
      </c>
      <c r="L18" s="186">
        <v>14</v>
      </c>
      <c r="N18" s="186">
        <v>14</v>
      </c>
    </row>
    <row r="19" spans="8:14" x14ac:dyDescent="0.25">
      <c r="H19" s="186">
        <v>15</v>
      </c>
      <c r="J19" s="186">
        <v>15</v>
      </c>
      <c r="L19" s="186">
        <v>15</v>
      </c>
      <c r="N19" s="186">
        <v>15</v>
      </c>
    </row>
    <row r="20" spans="8:14" x14ac:dyDescent="0.25">
      <c r="H20" s="186">
        <v>16</v>
      </c>
      <c r="J20" s="186">
        <v>16</v>
      </c>
      <c r="L20" s="186">
        <v>16</v>
      </c>
      <c r="N20" s="186">
        <v>16</v>
      </c>
    </row>
    <row r="21" spans="8:14" x14ac:dyDescent="0.25">
      <c r="H21" s="186">
        <v>17</v>
      </c>
      <c r="J21" s="186">
        <v>17</v>
      </c>
      <c r="L21" s="186">
        <v>17</v>
      </c>
      <c r="N21" s="186">
        <v>17</v>
      </c>
    </row>
    <row r="22" spans="8:14" x14ac:dyDescent="0.25">
      <c r="H22" s="186">
        <v>18</v>
      </c>
      <c r="J22" s="186">
        <v>18</v>
      </c>
      <c r="L22" s="186">
        <v>18</v>
      </c>
      <c r="N22" s="186">
        <v>18</v>
      </c>
    </row>
    <row r="23" spans="8:14" x14ac:dyDescent="0.25">
      <c r="H23" s="186">
        <v>19</v>
      </c>
      <c r="J23" s="186">
        <v>19</v>
      </c>
      <c r="L23" s="186">
        <v>19</v>
      </c>
      <c r="N23" s="186">
        <v>19</v>
      </c>
    </row>
    <row r="24" spans="8:14" x14ac:dyDescent="0.25">
      <c r="H24" s="186">
        <v>20</v>
      </c>
      <c r="J24" s="186">
        <v>20</v>
      </c>
      <c r="L24" s="186">
        <v>20</v>
      </c>
      <c r="N24" s="186">
        <v>20</v>
      </c>
    </row>
    <row r="25" spans="8:14" x14ac:dyDescent="0.25">
      <c r="H25" s="186">
        <v>21</v>
      </c>
      <c r="J25" s="186">
        <v>21</v>
      </c>
      <c r="L25" s="186">
        <v>21</v>
      </c>
      <c r="N25" s="186">
        <v>21</v>
      </c>
    </row>
    <row r="26" spans="8:14" x14ac:dyDescent="0.25">
      <c r="H26" s="186">
        <v>22</v>
      </c>
      <c r="J26" s="186">
        <v>22</v>
      </c>
      <c r="L26" s="186">
        <v>22</v>
      </c>
      <c r="N26" s="186">
        <v>22</v>
      </c>
    </row>
    <row r="27" spans="8:14" x14ac:dyDescent="0.25">
      <c r="H27" s="186">
        <v>23</v>
      </c>
      <c r="J27" s="186">
        <v>23</v>
      </c>
      <c r="L27" s="186">
        <v>23</v>
      </c>
      <c r="N27" s="186">
        <v>23</v>
      </c>
    </row>
    <row r="28" spans="8:14" x14ac:dyDescent="0.25">
      <c r="H28" s="186">
        <v>24</v>
      </c>
      <c r="J28" s="186">
        <v>24</v>
      </c>
      <c r="L28" s="186">
        <v>24</v>
      </c>
      <c r="N28" s="186">
        <v>24</v>
      </c>
    </row>
    <row r="29" spans="8:14" x14ac:dyDescent="0.25">
      <c r="H29" s="186">
        <v>25</v>
      </c>
      <c r="J29" s="186">
        <v>25</v>
      </c>
      <c r="L29" s="186">
        <v>25</v>
      </c>
      <c r="N29" s="186">
        <v>25</v>
      </c>
    </row>
    <row r="30" spans="8:14" x14ac:dyDescent="0.25">
      <c r="H30" s="186">
        <v>26</v>
      </c>
      <c r="J30" s="186">
        <v>26</v>
      </c>
      <c r="L30" s="186">
        <v>26</v>
      </c>
      <c r="N30" s="186">
        <v>26</v>
      </c>
    </row>
    <row r="31" spans="8:14" x14ac:dyDescent="0.25">
      <c r="H31" s="186">
        <v>27</v>
      </c>
      <c r="J31" s="186">
        <v>27</v>
      </c>
      <c r="L31" s="186">
        <v>27</v>
      </c>
      <c r="N31" s="186">
        <v>27</v>
      </c>
    </row>
    <row r="32" spans="8:14" ht="13.8" thickBot="1" x14ac:dyDescent="0.3">
      <c r="H32" s="186">
        <v>28</v>
      </c>
      <c r="J32" s="186">
        <v>28</v>
      </c>
      <c r="L32" s="187">
        <v>28</v>
      </c>
      <c r="N32" s="186">
        <v>28</v>
      </c>
    </row>
    <row r="33" spans="8:14" ht="14.4" thickTop="1" thickBot="1" x14ac:dyDescent="0.3">
      <c r="H33" s="186">
        <v>29</v>
      </c>
      <c r="J33" s="186">
        <v>29</v>
      </c>
      <c r="N33" s="187">
        <v>29</v>
      </c>
    </row>
    <row r="34" spans="8:14" ht="14.4" thickTop="1" thickBot="1" x14ac:dyDescent="0.3">
      <c r="H34" s="187">
        <v>30</v>
      </c>
      <c r="J34" s="186">
        <v>30</v>
      </c>
    </row>
    <row r="35" spans="8:14" ht="14.4" thickTop="1" thickBot="1" x14ac:dyDescent="0.3">
      <c r="J35" s="187">
        <v>31</v>
      </c>
    </row>
    <row r="36" spans="8:14" ht="13.8" thickTop="1" x14ac:dyDescent="0.25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21" label="2021"/>
            <item id="id2022" label="2022"/>
            <item id="id2023" label="2023"/>
            <item id="id2024" label="2024"/>
            <item id="id2025" label="2025"/>
            <item id="id2026" label="2026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88</vt:i4>
      </vt:variant>
    </vt:vector>
  </HeadingPairs>
  <TitlesOfParts>
    <vt:vector size="102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</cp:lastModifiedBy>
  <cp:lastPrinted>2017-10-22T20:56:47Z</cp:lastPrinted>
  <dcterms:created xsi:type="dcterms:W3CDTF">1998-05-04T06:57:40Z</dcterms:created>
  <dcterms:modified xsi:type="dcterms:W3CDTF">2023-04-15T03:35:11Z</dcterms:modified>
</cp:coreProperties>
</file>