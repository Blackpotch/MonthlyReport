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2" activeTab="11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Midnight" sheetId="5" r:id="rId5"/>
    <sheet name="Shift Stats" sheetId="16" r:id="rId6"/>
    <sheet name="Vehicles Carrying Fruit" sheetId="6" r:id="rId7"/>
    <sheet name="Previous Data" sheetId="12" r:id="rId8"/>
    <sheet name="Foodland" sheetId="15" r:id="rId9"/>
    <sheet name="Stock Totals" sheetId="10" r:id="rId10"/>
    <sheet name="Summary" sheetId="11" r:id="rId11"/>
    <sheet name="Data Input" sheetId="13" r:id="rId12"/>
    <sheet name="Data Lists" sheetId="14" state="hidden" r:id="rId13"/>
  </sheets>
  <definedNames>
    <definedName name="AfternoonShift">'Data Input'!$E$56:$J$61,'Data Input'!$E$64:$J$64,'Data Input'!$F$66,'Data Input'!$J$66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Input'!$E$56</definedName>
    <definedName name="DatumDay">'Data Input'!$E$40</definedName>
    <definedName name="DatumNight">'Data Input'!$E$24</definedName>
    <definedName name="Day">'Data Input'!$E$4</definedName>
    <definedName name="DayShift">'Data Input'!$E$40:$J$45,'Data Input'!$E$48:$J$48,'Data Input'!$F$50,'Data Input'!$J$50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Summary!$F$45</definedName>
    <definedName name="HostFruit">'Data Input'!$F$17</definedName>
    <definedName name="LastEntry">'Data Input'!$F$76</definedName>
    <definedName name="LastInput">'Data Input'!$J$66</definedName>
    <definedName name="LeapYear">'Data Lists'!$N$5:$N$33</definedName>
    <definedName name="Location">'Data Lists'!$Q$6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Input'!$E$24:$J$29,'Data Input'!$E$32,'Data Input'!$F$32,'Data Input'!$G$32,'Data Input'!$H$32,'Data Input'!$I$32,'Data Input'!$J$32,'Data Input'!$F$34,'Data Input'!$J$34</definedName>
    <definedName name="NonFFlyHostFruit">'Fruit Confiscated'!$K$36</definedName>
    <definedName name="NonHostFruit">'Data Input'!$J$17</definedName>
    <definedName name="Other">'Stock Totals'!$D$8</definedName>
    <definedName name="PBal">Foodland!$C$5</definedName>
    <definedName name="Pigs">'Stock Totals'!$D$7</definedName>
    <definedName name="PrevCattle">'Previous Data'!$H$14</definedName>
    <definedName name="PrevFruitFly">'Previous Data'!$H$19</definedName>
    <definedName name="PreviousFoodlandBalance">'Previous Data'!$H$21</definedName>
    <definedName name="PrevOther">'Previous Data'!$H$16</definedName>
    <definedName name="PrevPigs">'Previous Data'!$H$15</definedName>
    <definedName name="PrevSheep">'Previous Data'!$H$13</definedName>
    <definedName name="PrevTotalCars">'Previous Data'!$H$5</definedName>
    <definedName name="PrevTotalCommVehicles">'Previous Data'!$H$6</definedName>
    <definedName name="PrevTotalFruitConfiscated">'Previous Data'!$H$11</definedName>
    <definedName name="PrevTotalHostFruit">'Previous Data'!$H$9</definedName>
    <definedName name="PrevTotalNonHostFruit">'Previous Data'!$H$10</definedName>
    <definedName name="PrevTotalVehicles">'Previous Data'!$H$4</definedName>
    <definedName name="PrevTotalVehiclesWF">'Previous Data'!$H$7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4">Midnight!$B$2:$N$60</definedName>
    <definedName name="_xlnm.Print_Area" localSheetId="5">'Shift Stats'!$D$3:$I$36</definedName>
    <definedName name="_xlnm.Print_Area" localSheetId="10">Summary!$C$5:$M$67</definedName>
    <definedName name="_xlnm.Print_Area" localSheetId="6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DayShift" guid="{14AE98E8-156C-417E-BA7E-1BAACB87F014}" includePrintSettings="0" includeHiddenRowCol="0" maximized="1" xWindow="-8" yWindow="-8" windowWidth="1616" windowHeight="876" tabRatio="689" activeSheetId="13"/>
    <customWorkbookView name="AfternoonShift" guid="{9D06DB57-12DF-4033-9E9B-75F04FBF1F60}" includePrintSettings="0" includeHiddenRowCol="0" maximized="1" xWindow="-8" yWindow="-8" windowWidth="1616" windowHeight="876" tabRatio="689" activeSheetId="13"/>
    <customWorkbookView name="NightShift" guid="{5BEA7E47-9D9F-4ED1-B143-C5704EA3C6AB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J37" i="13" l="1"/>
  <c r="J21" i="13"/>
  <c r="I50" i="11" l="1"/>
  <c r="L50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0" i="11" l="1"/>
  <c r="I36" i="16"/>
  <c r="B3" i="1"/>
  <c r="B3" i="2"/>
  <c r="L12" i="1" l="1"/>
  <c r="L45" i="11"/>
  <c r="L39" i="11"/>
  <c r="L37" i="11"/>
  <c r="L35" i="11"/>
  <c r="L33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3" i="13"/>
  <c r="H21" i="13"/>
  <c r="H37" i="13"/>
  <c r="H53" i="13"/>
  <c r="J17" i="13"/>
  <c r="F17" i="13"/>
  <c r="F15" i="13"/>
  <c r="G15" i="13"/>
  <c r="H15" i="13"/>
  <c r="I15" i="13"/>
  <c r="J15" i="13"/>
  <c r="E15" i="13"/>
  <c r="F7" i="13"/>
  <c r="G7" i="13"/>
  <c r="H7" i="13"/>
  <c r="I7" i="13"/>
  <c r="J7" i="13"/>
  <c r="F8" i="13"/>
  <c r="G8" i="13"/>
  <c r="H8" i="13"/>
  <c r="I8" i="13"/>
  <c r="J8" i="13"/>
  <c r="F9" i="13"/>
  <c r="G9" i="13"/>
  <c r="H9" i="13"/>
  <c r="I9" i="13"/>
  <c r="J9" i="13"/>
  <c r="F10" i="13"/>
  <c r="G10" i="13"/>
  <c r="H10" i="13"/>
  <c r="I10" i="13"/>
  <c r="J10" i="13"/>
  <c r="F11" i="13"/>
  <c r="G11" i="13"/>
  <c r="H11" i="13"/>
  <c r="I11" i="13"/>
  <c r="J11" i="13"/>
  <c r="F12" i="13"/>
  <c r="G12" i="13"/>
  <c r="H12" i="13"/>
  <c r="I12" i="13"/>
  <c r="J12" i="13"/>
  <c r="E8" i="13"/>
  <c r="E9" i="13"/>
  <c r="E10" i="13"/>
  <c r="E11" i="13"/>
  <c r="E12" i="13"/>
  <c r="E7" i="13"/>
  <c r="C4" i="15" l="1"/>
  <c r="J63" i="13"/>
  <c r="I63" i="13"/>
  <c r="H63" i="13"/>
  <c r="G63" i="13"/>
  <c r="F63" i="13"/>
  <c r="E63" i="13"/>
  <c r="K64" i="13" s="1"/>
  <c r="J62" i="13"/>
  <c r="I62" i="13"/>
  <c r="H62" i="13"/>
  <c r="G62" i="13"/>
  <c r="F62" i="13"/>
  <c r="E62" i="13"/>
  <c r="K61" i="13"/>
  <c r="K60" i="13"/>
  <c r="K59" i="13"/>
  <c r="K58" i="13"/>
  <c r="K57" i="13"/>
  <c r="K56" i="13"/>
  <c r="J47" i="13"/>
  <c r="I47" i="13"/>
  <c r="H47" i="13"/>
  <c r="G47" i="13"/>
  <c r="F47" i="13"/>
  <c r="E47" i="13"/>
  <c r="K48" i="13" s="1"/>
  <c r="J46" i="13"/>
  <c r="I46" i="13"/>
  <c r="H46" i="13"/>
  <c r="G46" i="13"/>
  <c r="F46" i="13"/>
  <c r="E46" i="13"/>
  <c r="K45" i="13"/>
  <c r="K44" i="13"/>
  <c r="K43" i="13"/>
  <c r="K42" i="13"/>
  <c r="K41" i="13"/>
  <c r="K40" i="13"/>
  <c r="K32" i="13"/>
  <c r="J31" i="13"/>
  <c r="I31" i="13"/>
  <c r="H31" i="13"/>
  <c r="G31" i="13"/>
  <c r="F31" i="13"/>
  <c r="E31" i="13"/>
  <c r="J30" i="13"/>
  <c r="I30" i="13"/>
  <c r="H30" i="13"/>
  <c r="G30" i="13"/>
  <c r="F30" i="13"/>
  <c r="E30" i="13"/>
  <c r="K29" i="13"/>
  <c r="K28" i="13"/>
  <c r="K27" i="13"/>
  <c r="K26" i="13"/>
  <c r="K25" i="13"/>
  <c r="K24" i="13"/>
  <c r="F14" i="13"/>
  <c r="G14" i="13"/>
  <c r="H14" i="13"/>
  <c r="I14" i="13"/>
  <c r="J14" i="13"/>
  <c r="E14" i="13"/>
  <c r="F13" i="13"/>
  <c r="G13" i="13"/>
  <c r="H13" i="13"/>
  <c r="I13" i="13"/>
  <c r="J13" i="13"/>
  <c r="E13" i="13"/>
  <c r="K15" i="13"/>
  <c r="K8" i="13"/>
  <c r="K9" i="13"/>
  <c r="K10" i="13"/>
  <c r="K11" i="13"/>
  <c r="K12" i="13"/>
  <c r="K7" i="13"/>
  <c r="K31" i="13" l="1"/>
  <c r="K63" i="13"/>
  <c r="K47" i="13"/>
  <c r="K62" i="13"/>
  <c r="K46" i="13"/>
  <c r="K30" i="13"/>
  <c r="K13" i="13"/>
  <c r="K14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28" i="11" s="1"/>
  <c r="J36" i="1"/>
  <c r="F26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M6" i="1" s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K37" i="5"/>
  <c r="I5" i="5"/>
  <c r="L5" i="5" s="1"/>
  <c r="I6" i="5"/>
  <c r="L6" i="5" s="1"/>
  <c r="I7" i="5"/>
  <c r="L7" i="5" s="1"/>
  <c r="I8" i="5"/>
  <c r="L8" i="5" s="1"/>
  <c r="I9" i="5"/>
  <c r="I10" i="5"/>
  <c r="L10" i="5" s="1"/>
  <c r="I11" i="5"/>
  <c r="L11" i="5" s="1"/>
  <c r="I12" i="5"/>
  <c r="L12" i="5" s="1"/>
  <c r="I13" i="5"/>
  <c r="L13" i="5" s="1"/>
  <c r="I14" i="5"/>
  <c r="L14" i="5" s="1"/>
  <c r="I15" i="5"/>
  <c r="L15" i="5" s="1"/>
  <c r="I16" i="5"/>
  <c r="L16" i="5" s="1"/>
  <c r="I17" i="5"/>
  <c r="L17" i="5" s="1"/>
  <c r="I18" i="5"/>
  <c r="L18" i="5" s="1"/>
  <c r="I19" i="5"/>
  <c r="L19" i="5" s="1"/>
  <c r="I20" i="5"/>
  <c r="L20" i="5" s="1"/>
  <c r="I21" i="5"/>
  <c r="I22" i="5"/>
  <c r="L22" i="5" s="1"/>
  <c r="I23" i="5"/>
  <c r="L23" i="5" s="1"/>
  <c r="I24" i="5"/>
  <c r="L24" i="5" s="1"/>
  <c r="I25" i="5"/>
  <c r="L25" i="5" s="1"/>
  <c r="I26" i="5"/>
  <c r="L26" i="5" s="1"/>
  <c r="I27" i="5"/>
  <c r="L27" i="5" s="1"/>
  <c r="I28" i="5"/>
  <c r="L28" i="5" s="1"/>
  <c r="I29" i="5"/>
  <c r="I30" i="5"/>
  <c r="I31" i="5"/>
  <c r="I32" i="5"/>
  <c r="L32" i="5" s="1"/>
  <c r="I33" i="5"/>
  <c r="L33" i="5" s="1"/>
  <c r="I34" i="5"/>
  <c r="L34" i="5" s="1"/>
  <c r="I35" i="5"/>
  <c r="L35" i="5" s="1"/>
  <c r="J37" i="5"/>
  <c r="C37" i="5"/>
  <c r="D37" i="5"/>
  <c r="E37" i="5"/>
  <c r="F37" i="5"/>
  <c r="G37" i="5"/>
  <c r="H37" i="5"/>
  <c r="L9" i="5"/>
  <c r="L21" i="5"/>
  <c r="L29" i="5"/>
  <c r="L30" i="5"/>
  <c r="L31" i="5"/>
  <c r="C2" i="12"/>
  <c r="H11" i="12"/>
  <c r="H17" i="12"/>
  <c r="B3" i="10"/>
  <c r="D9" i="10"/>
  <c r="F39" i="11"/>
  <c r="F37" i="11"/>
  <c r="F35" i="11"/>
  <c r="F33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10" i="1" l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6" i="11"/>
  <c r="L28" i="11"/>
  <c r="I37" i="5"/>
  <c r="G39" i="5" s="1"/>
  <c r="I37" i="3"/>
  <c r="L36" i="1"/>
  <c r="L37" i="5"/>
  <c r="J37" i="6"/>
  <c r="H39" i="6" s="1"/>
  <c r="F35" i="4"/>
  <c r="F37" i="4" s="1"/>
  <c r="H35" i="4"/>
  <c r="H37" i="4" s="1"/>
  <c r="I36" i="2"/>
  <c r="G35" i="4"/>
  <c r="G37" i="4" s="1"/>
  <c r="I35" i="4"/>
  <c r="I37" i="4" s="1"/>
  <c r="I36" i="1"/>
  <c r="H20" i="11" s="1"/>
  <c r="H39" i="3" l="1"/>
  <c r="L14" i="11"/>
  <c r="H14" i="11"/>
  <c r="G39" i="6"/>
  <c r="D39" i="6"/>
  <c r="I39" i="6"/>
  <c r="E39" i="6"/>
  <c r="F39" i="6"/>
  <c r="L18" i="11"/>
  <c r="H18" i="11"/>
  <c r="K39" i="5"/>
  <c r="C39" i="5"/>
  <c r="D39" i="5"/>
  <c r="J39" i="5"/>
  <c r="H39" i="5"/>
  <c r="E39" i="5"/>
  <c r="F39" i="5"/>
  <c r="C39" i="3"/>
  <c r="D39" i="3"/>
  <c r="F39" i="3"/>
  <c r="G39" i="3"/>
  <c r="E39" i="3"/>
  <c r="H16" i="11"/>
  <c r="H12" i="11"/>
  <c r="L12" i="11" s="1"/>
  <c r="L16" i="11"/>
  <c r="L20" i="11"/>
  <c r="J39" i="6" l="1"/>
  <c r="I39" i="5"/>
  <c r="I39" i="3"/>
</calcChain>
</file>

<file path=xl/sharedStrings.xml><?xml version="1.0" encoding="utf-8"?>
<sst xmlns="http://schemas.openxmlformats.org/spreadsheetml/2006/main" count="233" uniqueCount="112">
  <si>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</si>
  <si>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</si>
  <si>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</si>
  <si>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</si>
  <si>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</si>
  <si>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</si>
  <si>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</si>
  <si>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</si>
  <si>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</si>
  <si>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</si>
  <si>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</si>
  <si>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</si>
  <si>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</si>
  <si>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</si>
  <si>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</si>
  <si>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</si>
  <si>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</si>
  <si>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</si>
  <si>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</si>
  <si>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</si>
  <si>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</si>
  <si>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</si>
  <si>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</si>
  <si>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VEHICLES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</si>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</sst>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5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0" fillId="3" borderId="1" xfId="0" applyFill="1" applyBorder="1" applyProtection="1">
      <protection locked="0"/>
    </xf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8" fillId="3" borderId="1" xfId="0" applyFont="1" applyFill="1" applyBorder="1" applyProtection="1">
      <protection locked="0"/>
    </xf>
    <xf numFmtId="0" fontId="7" fillId="0" borderId="1" xfId="0" applyNumberFormat="1" applyFont="1" applyBorder="1"/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0" fontId="0" fillId="0" borderId="1" xfId="0" applyBorder="1" applyProtection="1">
      <protection locked="0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623960"/>
        <c:axId val="284620824"/>
      </c:barChart>
      <c:catAx>
        <c:axId val="28462396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6208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620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6239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621216"/>
        <c:axId val="284622392"/>
      </c:barChart>
      <c:catAx>
        <c:axId val="28462121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6223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4622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62121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4623176"/>
        <c:axId val="284623568"/>
      </c:barChart>
      <c:catAx>
        <c:axId val="284623176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62356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846235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46231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125904"/>
        <c:axId val="285128256"/>
      </c:barChart>
      <c:catAx>
        <c:axId val="28512590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82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5128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59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128648"/>
        <c:axId val="285125120"/>
      </c:barChart>
      <c:catAx>
        <c:axId val="285128648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51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5125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86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129432"/>
        <c:axId val="285129040"/>
      </c:barChart>
      <c:catAx>
        <c:axId val="285129432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904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85129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94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127472"/>
        <c:axId val="285129824"/>
      </c:barChart>
      <c:catAx>
        <c:axId val="28512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9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5129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51274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114860</xdr:colOff>
          <xdr:row>19</xdr:row>
          <xdr:rowOff>162485</xdr:rowOff>
        </xdr:from>
        <xdr:to>
          <xdr:col>6</xdr:col>
          <xdr:colOff>343460</xdr:colOff>
          <xdr:row>20</xdr:row>
          <xdr:rowOff>257735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211791</xdr:colOff>
          <xdr:row>35</xdr:row>
          <xdr:rowOff>162487</xdr:rowOff>
        </xdr:from>
        <xdr:to>
          <xdr:col>6</xdr:col>
          <xdr:colOff>440391</xdr:colOff>
          <xdr:row>36</xdr:row>
          <xdr:rowOff>269503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230842</xdr:colOff>
          <xdr:row>51</xdr:row>
          <xdr:rowOff>231962</xdr:rowOff>
        </xdr:from>
        <xdr:to>
          <xdr:col>6</xdr:col>
          <xdr:colOff>459442</xdr:colOff>
          <xdr:row>52</xdr:row>
          <xdr:rowOff>261658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514350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93569</xdr:colOff>
          <xdr:row>4</xdr:row>
          <xdr:rowOff>20731</xdr:rowOff>
        </xdr:from>
        <xdr:to>
          <xdr:col>7</xdr:col>
          <xdr:colOff>512669</xdr:colOff>
          <xdr:row>4</xdr:row>
          <xdr:rowOff>230281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/>
  <dimension ref="B1:M37"/>
  <sheetViews>
    <sheetView showGridLines="0" showRowColHeaders="0" zoomScale="85" zoomScaleNormal="13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08" t="str">
        <f>"AMOUNT OF FRUIT CONFISCATED AT " &amp; Location &amp; " (kg)"</f>
        <v>AMOUNT OF FRUIT CONFISCATED AT OODLA WIRRA (kg)</v>
      </c>
      <c r="C2" s="309"/>
      <c r="D2" s="309"/>
      <c r="E2" s="309"/>
      <c r="F2" s="309"/>
      <c r="G2" s="309"/>
      <c r="H2" s="309"/>
      <c r="I2" s="309"/>
      <c r="J2" s="310"/>
      <c r="K2" s="310"/>
      <c r="L2" s="311"/>
    </row>
    <row r="3" spans="2:13" ht="16.5" thickBot="1" x14ac:dyDescent="0.3">
      <c r="B3" s="312" t="str">
        <f>Month &amp;  " " &amp; Year</f>
        <v>April 2018</v>
      </c>
      <c r="C3" s="313"/>
      <c r="D3" s="313"/>
      <c r="E3" s="313"/>
      <c r="F3" s="313"/>
      <c r="G3" s="313"/>
      <c r="H3" s="313"/>
      <c r="I3" s="313"/>
      <c r="J3" s="314"/>
      <c r="K3" s="314"/>
      <c r="L3" s="315"/>
    </row>
    <row r="4" spans="2:13" s="50" customFormat="1" ht="49.5" customHeight="1" thickBot="1" x14ac:dyDescent="0.25">
      <c r="B4" s="126" t="s">
        <v>0</v>
      </c>
      <c r="C4" s="127" t="s">
        <v>1</v>
      </c>
      <c r="D4" s="127" t="s">
        <v>2</v>
      </c>
      <c r="E4" s="127" t="s">
        <v>3</v>
      </c>
      <c r="F4" s="127" t="s">
        <v>4</v>
      </c>
      <c r="G4" s="127" t="s">
        <v>5</v>
      </c>
      <c r="H4" s="127" t="s">
        <v>6</v>
      </c>
      <c r="I4" s="128" t="s">
        <v>24</v>
      </c>
      <c r="J4" s="129" t="s">
        <v>46</v>
      </c>
      <c r="K4" s="130" t="s">
        <v>47</v>
      </c>
      <c r="L4" s="127" t="s">
        <v>29</v>
      </c>
    </row>
    <row r="5" spans="2:13" ht="15.75" x14ac:dyDescent="0.25">
      <c r="B5" s="122">
        <v>1</v>
      </c>
      <c r="C5" s="123"/>
      <c r="D5" s="123"/>
      <c r="E5" s="123"/>
      <c r="F5" s="123"/>
      <c r="G5" s="123"/>
      <c r="H5" s="123"/>
      <c r="I5" s="124">
        <f>SUM(C5:H5)</f>
        <v>0</v>
      </c>
      <c r="J5" s="123"/>
      <c r="K5" s="123"/>
      <c r="L5" s="125">
        <f>SUM(J5:K5)</f>
        <v>0</v>
      </c>
      <c r="M5" s="204">
        <f>I5-L5</f>
        <v>0</v>
      </c>
    </row>
    <row r="6" spans="2:13" ht="15.75" x14ac:dyDescent="0.25">
      <c r="B6" s="43">
        <v>2</v>
      </c>
      <c r="C6" s="44"/>
      <c r="D6" s="44"/>
      <c r="E6" s="44"/>
      <c r="F6" s="44"/>
      <c r="G6" s="44"/>
      <c r="H6" s="44"/>
      <c r="I6" s="115">
        <f t="shared" ref="I6:I35" si="0">SUM(C6:H6)</f>
        <v>0</v>
      </c>
      <c r="J6" s="44"/>
      <c r="K6" s="44"/>
      <c r="L6" s="118">
        <f t="shared" ref="L6:L35" si="1">SUM(J6:K6)</f>
        <v>0</v>
      </c>
      <c r="M6" s="204">
        <f t="shared" ref="M6:M35" si="2">I6-L6</f>
        <v>0</v>
      </c>
    </row>
    <row r="7" spans="2:13" ht="15.75" x14ac:dyDescent="0.25">
      <c r="B7" s="43">
        <v>3</v>
      </c>
      <c r="C7" s="44"/>
      <c r="D7" s="44"/>
      <c r="E7" s="44"/>
      <c r="F7" s="44"/>
      <c r="G7" s="44"/>
      <c r="H7" s="44"/>
      <c r="I7" s="115">
        <f t="shared" si="0"/>
        <v>0</v>
      </c>
      <c r="J7" s="44"/>
      <c r="K7" s="44"/>
      <c r="L7" s="118">
        <f t="shared" si="1"/>
        <v>0</v>
      </c>
      <c r="M7" s="204">
        <f t="shared" si="2"/>
        <v>0</v>
      </c>
    </row>
    <row r="8" spans="2:13" ht="15.75" x14ac:dyDescent="0.25">
      <c r="B8" s="43">
        <v>4</v>
      </c>
      <c r="C8" s="44"/>
      <c r="D8" s="44"/>
      <c r="E8" s="44"/>
      <c r="F8" s="44"/>
      <c r="G8" s="44"/>
      <c r="H8" s="44"/>
      <c r="I8" s="115">
        <f t="shared" si="0"/>
        <v>0</v>
      </c>
      <c r="J8" s="44"/>
      <c r="K8" s="44"/>
      <c r="L8" s="118">
        <f t="shared" si="1"/>
        <v>0</v>
      </c>
      <c r="M8" s="204">
        <f t="shared" si="2"/>
        <v>0</v>
      </c>
    </row>
    <row r="9" spans="2:13" ht="15.75" x14ac:dyDescent="0.25">
      <c r="B9" s="43">
        <v>5</v>
      </c>
      <c r="C9" s="44"/>
      <c r="D9" s="44"/>
      <c r="E9" s="44"/>
      <c r="F9" s="44"/>
      <c r="G9" s="44"/>
      <c r="H9" s="44"/>
      <c r="I9" s="115">
        <f t="shared" si="0"/>
        <v>0</v>
      </c>
      <c r="J9" s="44"/>
      <c r="K9" s="44"/>
      <c r="L9" s="118">
        <f t="shared" si="1"/>
        <v>0</v>
      </c>
      <c r="M9" s="204">
        <f t="shared" si="2"/>
        <v>0</v>
      </c>
    </row>
    <row r="10" spans="2:13" ht="15.75" x14ac:dyDescent="0.25">
      <c r="B10" s="43">
        <v>6</v>
      </c>
      <c r="C10" s="44"/>
      <c r="D10" s="44"/>
      <c r="E10" s="44"/>
      <c r="F10" s="44"/>
      <c r="G10" s="44"/>
      <c r="H10" s="44"/>
      <c r="I10" s="115">
        <f t="shared" si="0"/>
        <v>0</v>
      </c>
      <c r="J10" s="44"/>
      <c r="K10" s="44"/>
      <c r="L10" s="118">
        <f t="shared" si="1"/>
        <v>0</v>
      </c>
      <c r="M10" s="204">
        <f t="shared" si="2"/>
        <v>0</v>
      </c>
    </row>
    <row r="11" spans="2:13" ht="15.75" x14ac:dyDescent="0.25">
      <c r="B11" s="43">
        <v>7</v>
      </c>
      <c r="C11" s="44"/>
      <c r="D11" s="44"/>
      <c r="E11" s="44"/>
      <c r="F11" s="44"/>
      <c r="G11" s="44"/>
      <c r="H11" s="44"/>
      <c r="I11" s="115">
        <f t="shared" si="0"/>
        <v>0</v>
      </c>
      <c r="J11" s="44"/>
      <c r="K11" s="44"/>
      <c r="L11" s="118">
        <f t="shared" si="1"/>
        <v>0</v>
      </c>
      <c r="M11" s="204">
        <f t="shared" si="2"/>
        <v>0</v>
      </c>
    </row>
    <row r="12" spans="2:13" ht="15.75" x14ac:dyDescent="0.25">
      <c r="B12" s="43">
        <v>8</v>
      </c>
      <c r="C12" s="44"/>
      <c r="D12" s="44"/>
      <c r="E12" s="44"/>
      <c r="F12" s="44"/>
      <c r="G12" s="44"/>
      <c r="H12" s="44"/>
      <c r="I12" s="115">
        <f t="shared" si="0"/>
        <v>0</v>
      </c>
      <c r="J12" s="44"/>
      <c r="K12" s="44"/>
      <c r="L12" s="118">
        <f t="shared" si="1"/>
        <v>0</v>
      </c>
      <c r="M12" s="204">
        <f t="shared" si="2"/>
        <v>0</v>
      </c>
    </row>
    <row r="13" spans="2:13" ht="15.75" x14ac:dyDescent="0.25">
      <c r="B13" s="43">
        <v>9</v>
      </c>
      <c r="C13" s="44"/>
      <c r="D13" s="44"/>
      <c r="E13" s="44"/>
      <c r="F13" s="44"/>
      <c r="G13" s="44"/>
      <c r="H13" s="44"/>
      <c r="I13" s="115">
        <f t="shared" si="0"/>
        <v>0</v>
      </c>
      <c r="J13" s="44"/>
      <c r="K13" s="44"/>
      <c r="L13" s="118">
        <f t="shared" si="1"/>
        <v>0</v>
      </c>
      <c r="M13" s="204">
        <f t="shared" si="2"/>
        <v>0</v>
      </c>
    </row>
    <row r="14" spans="2:13" ht="15.75" x14ac:dyDescent="0.25">
      <c r="B14" s="43">
        <v>10</v>
      </c>
      <c r="C14" s="44"/>
      <c r="D14" s="44"/>
      <c r="E14" s="44"/>
      <c r="F14" s="44"/>
      <c r="G14" s="44"/>
      <c r="H14" s="44"/>
      <c r="I14" s="115">
        <f t="shared" si="0"/>
        <v>0</v>
      </c>
      <c r="J14" s="44"/>
      <c r="K14" s="44"/>
      <c r="L14" s="118">
        <f t="shared" si="1"/>
        <v>0</v>
      </c>
      <c r="M14" s="204">
        <f t="shared" si="2"/>
        <v>0</v>
      </c>
    </row>
    <row r="15" spans="2:13" ht="15.75" x14ac:dyDescent="0.25">
      <c r="B15" s="43">
        <v>11</v>
      </c>
      <c r="C15" s="44"/>
      <c r="D15" s="44"/>
      <c r="E15" s="44"/>
      <c r="F15" s="44"/>
      <c r="G15" s="44"/>
      <c r="H15" s="44"/>
      <c r="I15" s="115">
        <f t="shared" si="0"/>
        <v>0</v>
      </c>
      <c r="J15" s="44"/>
      <c r="K15" s="44"/>
      <c r="L15" s="118">
        <f t="shared" si="1"/>
        <v>0</v>
      </c>
      <c r="M15" s="204">
        <f t="shared" si="2"/>
        <v>0</v>
      </c>
    </row>
    <row r="16" spans="2:13" ht="15.75" x14ac:dyDescent="0.25">
      <c r="B16" s="43">
        <v>12</v>
      </c>
      <c r="C16" s="44"/>
      <c r="D16" s="44"/>
      <c r="E16" s="44"/>
      <c r="F16" s="44"/>
      <c r="G16" s="44"/>
      <c r="H16" s="44"/>
      <c r="I16" s="115">
        <f t="shared" si="0"/>
        <v>0</v>
      </c>
      <c r="J16" s="44"/>
      <c r="K16" s="44"/>
      <c r="L16" s="118">
        <f t="shared" si="1"/>
        <v>0</v>
      </c>
      <c r="M16" s="204">
        <f t="shared" si="2"/>
        <v>0</v>
      </c>
    </row>
    <row r="17" spans="2:13" ht="15.75" x14ac:dyDescent="0.25">
      <c r="B17" s="43">
        <v>13</v>
      </c>
      <c r="C17" s="44"/>
      <c r="D17" s="44"/>
      <c r="E17" s="44"/>
      <c r="F17" s="44"/>
      <c r="G17" s="44"/>
      <c r="H17" s="44"/>
      <c r="I17" s="115">
        <f t="shared" si="0"/>
        <v>0</v>
      </c>
      <c r="J17" s="44"/>
      <c r="K17" s="44"/>
      <c r="L17" s="118">
        <f t="shared" si="1"/>
        <v>0</v>
      </c>
      <c r="M17" s="204">
        <f t="shared" si="2"/>
        <v>0</v>
      </c>
    </row>
    <row r="18" spans="2:13" ht="15.75" x14ac:dyDescent="0.25">
      <c r="B18" s="43">
        <v>14</v>
      </c>
      <c r="C18" s="44"/>
      <c r="D18" s="44"/>
      <c r="E18" s="44"/>
      <c r="F18" s="44"/>
      <c r="G18" s="44"/>
      <c r="H18" s="44"/>
      <c r="I18" s="115">
        <f t="shared" si="0"/>
        <v>0</v>
      </c>
      <c r="J18" s="44"/>
      <c r="K18" s="44"/>
      <c r="L18" s="118">
        <f t="shared" si="1"/>
        <v>0</v>
      </c>
      <c r="M18" s="204">
        <f t="shared" si="2"/>
        <v>0</v>
      </c>
    </row>
    <row r="19" spans="2:13" ht="15.75" x14ac:dyDescent="0.25">
      <c r="B19" s="43">
        <v>15</v>
      </c>
      <c r="C19" s="44"/>
      <c r="D19" s="44"/>
      <c r="E19" s="44"/>
      <c r="F19" s="44"/>
      <c r="G19" s="44"/>
      <c r="H19" s="44"/>
      <c r="I19" s="115">
        <f t="shared" si="0"/>
        <v>0</v>
      </c>
      <c r="J19" s="44"/>
      <c r="K19" s="44"/>
      <c r="L19" s="118">
        <f t="shared" si="1"/>
        <v>0</v>
      </c>
      <c r="M19" s="204">
        <f t="shared" si="2"/>
        <v>0</v>
      </c>
    </row>
    <row r="20" spans="2:13" ht="15.75" x14ac:dyDescent="0.25">
      <c r="B20" s="43">
        <v>16</v>
      </c>
      <c r="C20" s="44"/>
      <c r="D20" s="44"/>
      <c r="E20" s="44"/>
      <c r="F20" s="44"/>
      <c r="G20" s="44"/>
      <c r="H20" s="44"/>
      <c r="I20" s="115">
        <f t="shared" si="0"/>
        <v>0</v>
      </c>
      <c r="J20" s="44"/>
      <c r="K20" s="44"/>
      <c r="L20" s="118">
        <f t="shared" si="1"/>
        <v>0</v>
      </c>
      <c r="M20" s="204">
        <f t="shared" si="2"/>
        <v>0</v>
      </c>
    </row>
    <row r="21" spans="2:13" ht="15.75" x14ac:dyDescent="0.25">
      <c r="B21" s="43">
        <v>17</v>
      </c>
      <c r="C21" s="44"/>
      <c r="D21" s="44"/>
      <c r="E21" s="44"/>
      <c r="F21" s="44"/>
      <c r="G21" s="44"/>
      <c r="H21" s="44"/>
      <c r="I21" s="115">
        <f t="shared" si="0"/>
        <v>0</v>
      </c>
      <c r="J21" s="44"/>
      <c r="K21" s="44"/>
      <c r="L21" s="118">
        <f t="shared" si="1"/>
        <v>0</v>
      </c>
      <c r="M21" s="204">
        <f t="shared" si="2"/>
        <v>0</v>
      </c>
    </row>
    <row r="22" spans="2:13" ht="15.75" x14ac:dyDescent="0.25">
      <c r="B22" s="43">
        <v>18</v>
      </c>
      <c r="C22" s="44"/>
      <c r="D22" s="44"/>
      <c r="E22" s="44"/>
      <c r="F22" s="44"/>
      <c r="G22" s="44"/>
      <c r="H22" s="44"/>
      <c r="I22" s="115">
        <f t="shared" si="0"/>
        <v>0</v>
      </c>
      <c r="J22" s="44"/>
      <c r="K22" s="44"/>
      <c r="L22" s="118">
        <f t="shared" si="1"/>
        <v>0</v>
      </c>
      <c r="M22" s="204">
        <f t="shared" si="2"/>
        <v>0</v>
      </c>
    </row>
    <row r="23" spans="2:13" ht="15.75" x14ac:dyDescent="0.25">
      <c r="B23" s="43">
        <v>19</v>
      </c>
      <c r="C23" s="44"/>
      <c r="D23" s="44"/>
      <c r="E23" s="44"/>
      <c r="F23" s="44"/>
      <c r="G23" s="44"/>
      <c r="H23" s="44"/>
      <c r="I23" s="115">
        <f t="shared" si="0"/>
        <v>0</v>
      </c>
      <c r="J23" s="44"/>
      <c r="K23" s="44"/>
      <c r="L23" s="118">
        <f t="shared" si="1"/>
        <v>0</v>
      </c>
      <c r="M23" s="204">
        <f t="shared" si="2"/>
        <v>0</v>
      </c>
    </row>
    <row r="24" spans="2:13" ht="15.75" x14ac:dyDescent="0.25">
      <c r="B24" s="43">
        <v>20</v>
      </c>
      <c r="C24" s="44"/>
      <c r="D24" s="44"/>
      <c r="E24" s="44"/>
      <c r="F24" s="44"/>
      <c r="G24" s="44"/>
      <c r="H24" s="44"/>
      <c r="I24" s="115">
        <f t="shared" si="0"/>
        <v>0</v>
      </c>
      <c r="J24" s="44"/>
      <c r="K24" s="44"/>
      <c r="L24" s="118">
        <f t="shared" si="1"/>
        <v>0</v>
      </c>
      <c r="M24" s="204">
        <f t="shared" si="2"/>
        <v>0</v>
      </c>
    </row>
    <row r="25" spans="2:13" ht="15.75" x14ac:dyDescent="0.25">
      <c r="B25" s="43">
        <v>21</v>
      </c>
      <c r="C25" s="44"/>
      <c r="D25" s="44"/>
      <c r="E25" s="44"/>
      <c r="F25" s="44"/>
      <c r="G25" s="44"/>
      <c r="H25" s="44"/>
      <c r="I25" s="115">
        <f t="shared" si="0"/>
        <v>0</v>
      </c>
      <c r="J25" s="44"/>
      <c r="K25" s="44"/>
      <c r="L25" s="118">
        <f t="shared" si="1"/>
        <v>0</v>
      </c>
      <c r="M25" s="204">
        <f t="shared" si="2"/>
        <v>0</v>
      </c>
    </row>
    <row r="26" spans="2:13" ht="15.75" x14ac:dyDescent="0.25">
      <c r="B26" s="43">
        <v>22</v>
      </c>
      <c r="C26" s="44"/>
      <c r="D26" s="44"/>
      <c r="E26" s="44"/>
      <c r="F26" s="44"/>
      <c r="G26" s="44"/>
      <c r="H26" s="44"/>
      <c r="I26" s="115">
        <f t="shared" si="0"/>
        <v>0</v>
      </c>
      <c r="J26" s="44"/>
      <c r="K26" s="44"/>
      <c r="L26" s="118">
        <f t="shared" si="1"/>
        <v>0</v>
      </c>
      <c r="M26" s="204">
        <f t="shared" si="2"/>
        <v>0</v>
      </c>
    </row>
    <row r="27" spans="2:13" ht="15.75" x14ac:dyDescent="0.25">
      <c r="B27" s="43">
        <v>23</v>
      </c>
      <c r="C27" s="44"/>
      <c r="D27" s="44"/>
      <c r="E27" s="44"/>
      <c r="F27" s="44"/>
      <c r="G27" s="44"/>
      <c r="H27" s="44"/>
      <c r="I27" s="115">
        <f t="shared" si="0"/>
        <v>0</v>
      </c>
      <c r="J27" s="44"/>
      <c r="K27" s="44"/>
      <c r="L27" s="118">
        <f t="shared" si="1"/>
        <v>0</v>
      </c>
      <c r="M27" s="204">
        <f t="shared" si="2"/>
        <v>0</v>
      </c>
    </row>
    <row r="28" spans="2:13" ht="15.75" x14ac:dyDescent="0.25">
      <c r="B28" s="43">
        <v>24</v>
      </c>
      <c r="C28" s="44"/>
      <c r="D28" s="44"/>
      <c r="E28" s="44"/>
      <c r="F28" s="44"/>
      <c r="G28" s="44"/>
      <c r="H28" s="44"/>
      <c r="I28" s="115">
        <f t="shared" si="0"/>
        <v>0</v>
      </c>
      <c r="J28" s="44"/>
      <c r="K28" s="44"/>
      <c r="L28" s="118">
        <f t="shared" si="1"/>
        <v>0</v>
      </c>
      <c r="M28" s="204">
        <f t="shared" si="2"/>
        <v>0</v>
      </c>
    </row>
    <row r="29" spans="2:13" ht="15.75" x14ac:dyDescent="0.25">
      <c r="B29" s="43">
        <v>25</v>
      </c>
      <c r="C29" s="44"/>
      <c r="D29" s="44"/>
      <c r="E29" s="44"/>
      <c r="F29" s="44"/>
      <c r="G29" s="44"/>
      <c r="H29" s="44"/>
      <c r="I29" s="115">
        <f t="shared" si="0"/>
        <v>0</v>
      </c>
      <c r="J29" s="44"/>
      <c r="K29" s="44"/>
      <c r="L29" s="118">
        <f t="shared" si="1"/>
        <v>0</v>
      </c>
      <c r="M29" s="204">
        <f t="shared" si="2"/>
        <v>0</v>
      </c>
    </row>
    <row r="30" spans="2:13" ht="15.75" x14ac:dyDescent="0.25">
      <c r="B30" s="43">
        <v>26</v>
      </c>
      <c r="C30" s="44"/>
      <c r="D30" s="44"/>
      <c r="E30" s="44"/>
      <c r="F30" s="44"/>
      <c r="G30" s="44"/>
      <c r="H30" s="44"/>
      <c r="I30" s="115">
        <f t="shared" si="0"/>
        <v>0</v>
      </c>
      <c r="J30" s="44"/>
      <c r="K30" s="44"/>
      <c r="L30" s="118">
        <f t="shared" si="1"/>
        <v>0</v>
      </c>
      <c r="M30" s="204">
        <f t="shared" si="2"/>
        <v>0</v>
      </c>
    </row>
    <row r="31" spans="2:13" ht="15.75" x14ac:dyDescent="0.25">
      <c r="B31" s="43">
        <v>27</v>
      </c>
      <c r="C31" s="44"/>
      <c r="D31" s="44"/>
      <c r="E31" s="44"/>
      <c r="F31" s="44"/>
      <c r="G31" s="44"/>
      <c r="H31" s="44"/>
      <c r="I31" s="115">
        <f t="shared" si="0"/>
        <v>0</v>
      </c>
      <c r="J31" s="44"/>
      <c r="K31" s="44"/>
      <c r="L31" s="118">
        <f t="shared" si="1"/>
        <v>0</v>
      </c>
      <c r="M31" s="204">
        <f t="shared" si="2"/>
        <v>0</v>
      </c>
    </row>
    <row r="32" spans="2:13" ht="15.75" x14ac:dyDescent="0.25">
      <c r="B32" s="43">
        <v>28</v>
      </c>
      <c r="C32" s="44"/>
      <c r="D32" s="44"/>
      <c r="E32" s="44"/>
      <c r="F32" s="44"/>
      <c r="G32" s="44"/>
      <c r="H32" s="44"/>
      <c r="I32" s="115">
        <f t="shared" si="0"/>
        <v>0</v>
      </c>
      <c r="J32" s="44"/>
      <c r="K32" s="44"/>
      <c r="L32" s="118">
        <f t="shared" si="1"/>
        <v>0</v>
      </c>
      <c r="M32" s="204">
        <f t="shared" si="2"/>
        <v>0</v>
      </c>
    </row>
    <row r="33" spans="2:13" ht="15.75" x14ac:dyDescent="0.25">
      <c r="B33" s="43">
        <v>29</v>
      </c>
      <c r="C33" s="44"/>
      <c r="D33" s="44"/>
      <c r="E33" s="44"/>
      <c r="F33" s="44"/>
      <c r="G33" s="44"/>
      <c r="H33" s="44"/>
      <c r="I33" s="115">
        <f t="shared" si="0"/>
        <v>0</v>
      </c>
      <c r="J33" s="44"/>
      <c r="K33" s="44"/>
      <c r="L33" s="118">
        <f t="shared" si="1"/>
        <v>0</v>
      </c>
      <c r="M33" s="204">
        <f t="shared" si="2"/>
        <v>0</v>
      </c>
    </row>
    <row r="34" spans="2:13" ht="15.75" x14ac:dyDescent="0.25">
      <c r="B34" s="43">
        <v>30</v>
      </c>
      <c r="C34" s="44"/>
      <c r="D34" s="44"/>
      <c r="E34" s="44"/>
      <c r="F34" s="44"/>
      <c r="G34" s="44"/>
      <c r="H34" s="44"/>
      <c r="I34" s="115">
        <f t="shared" si="0"/>
        <v>0</v>
      </c>
      <c r="J34" s="44"/>
      <c r="K34" s="44"/>
      <c r="L34" s="118">
        <f t="shared" si="1"/>
        <v>0</v>
      </c>
      <c r="M34" s="204">
        <f t="shared" si="2"/>
        <v>0</v>
      </c>
    </row>
    <row r="35" spans="2:13" ht="16.5" thickBot="1" x14ac:dyDescent="0.3">
      <c r="B35" s="45">
        <v>31</v>
      </c>
      <c r="C35" s="46"/>
      <c r="D35" s="46"/>
      <c r="E35" s="46"/>
      <c r="F35" s="46"/>
      <c r="G35" s="46"/>
      <c r="H35" s="46"/>
      <c r="I35" s="116">
        <f t="shared" si="0"/>
        <v>0</v>
      </c>
      <c r="J35" s="46"/>
      <c r="K35" s="46"/>
      <c r="L35" s="75">
        <f t="shared" si="1"/>
        <v>0</v>
      </c>
      <c r="M35" s="204">
        <f t="shared" si="2"/>
        <v>0</v>
      </c>
    </row>
    <row r="36" spans="2:13" ht="16.5" thickBot="1" x14ac:dyDescent="0.3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7">
        <f>SUM(L5:L35)</f>
        <v>0</v>
      </c>
    </row>
    <row r="37" spans="2:13" ht="15.75" x14ac:dyDescent="0.25"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1"/>
    </row>
  </sheetData>
  <sheetProtection sheet="1" objects="1" scenarios="1" selectLockedCells="1"/>
  <customSheetViews>
    <customSheetView guid="{14AE98E8-156C-417E-BA7E-1BAACB87F014}" scale="85" showGridLines="0" showRowCol="0">
      <selection activeCell="C5" sqref="C5"/>
    </customSheetView>
    <customSheetView guid="{9D06DB57-12DF-4033-9E9B-75F04FBF1F60}" scale="85" showGridLines="0" showRowCol="0">
      <selection activeCell="C5" sqref="C5"/>
    </customSheetView>
    <customSheetView guid="{5BEA7E47-9D9F-4ED1-B143-C5704EA3C6AB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16" t="str">
        <f>"COMMERCIAL VEHICLES PASSING THROUGH " &amp; Location</f>
        <v>COMMERCIAL VEHICLES PASSING THROUGH OODLA WIRRA</v>
      </c>
      <c r="C2" s="317"/>
      <c r="D2" s="317"/>
      <c r="E2" s="317"/>
      <c r="F2" s="317"/>
      <c r="G2" s="317"/>
      <c r="H2" s="317"/>
      <c r="I2" s="318"/>
    </row>
    <row r="3" spans="2:9" ht="22.9" customHeight="1" thickBot="1" x14ac:dyDescent="0.25">
      <c r="B3" s="319" t="str">
        <f>Month &amp; " " &amp; Year</f>
        <v>April 2018</v>
      </c>
      <c r="C3" s="320"/>
      <c r="D3" s="320"/>
      <c r="E3" s="320"/>
      <c r="F3" s="320"/>
      <c r="G3" s="320"/>
      <c r="H3" s="320"/>
      <c r="I3" s="321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/>
      <c r="D5" s="41"/>
      <c r="E5" s="41"/>
      <c r="F5" s="41"/>
      <c r="G5" s="41"/>
      <c r="H5" s="41"/>
      <c r="I5" s="42">
        <f>SUM(C5:H5)</f>
        <v>0</v>
      </c>
    </row>
    <row r="6" spans="2:9" ht="15.75" x14ac:dyDescent="0.25">
      <c r="B6" s="43">
        <v>2</v>
      </c>
      <c r="C6" s="44"/>
      <c r="D6" s="44"/>
      <c r="E6" s="44"/>
      <c r="F6" s="44"/>
      <c r="G6" s="44"/>
      <c r="H6" s="44"/>
      <c r="I6" s="37">
        <f t="shared" ref="I6:I21" si="0">SUM(C6:H6)</f>
        <v>0</v>
      </c>
    </row>
    <row r="7" spans="2:9" ht="15.75" x14ac:dyDescent="0.25">
      <c r="B7" s="43">
        <v>3</v>
      </c>
      <c r="C7" s="44"/>
      <c r="D7" s="44"/>
      <c r="E7" s="44"/>
      <c r="F7" s="44"/>
      <c r="G7" s="44"/>
      <c r="H7" s="44"/>
      <c r="I7" s="37">
        <f t="shared" si="0"/>
        <v>0</v>
      </c>
    </row>
    <row r="8" spans="2:9" ht="15.75" x14ac:dyDescent="0.25">
      <c r="B8" s="43">
        <v>4</v>
      </c>
      <c r="C8" s="44"/>
      <c r="D8" s="44"/>
      <c r="E8" s="44"/>
      <c r="F8" s="44"/>
      <c r="G8" s="44"/>
      <c r="H8" s="44"/>
      <c r="I8" s="37">
        <f t="shared" si="0"/>
        <v>0</v>
      </c>
    </row>
    <row r="9" spans="2:9" ht="15.75" x14ac:dyDescent="0.25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75" x14ac:dyDescent="0.25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75" x14ac:dyDescent="0.25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75" x14ac:dyDescent="0.25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75" x14ac:dyDescent="0.25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75" x14ac:dyDescent="0.25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75" x14ac:dyDescent="0.25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75" x14ac:dyDescent="0.25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75" x14ac:dyDescent="0.25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75" x14ac:dyDescent="0.25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75" x14ac:dyDescent="0.25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75" x14ac:dyDescent="0.25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75" x14ac:dyDescent="0.25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75" x14ac:dyDescent="0.25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75" x14ac:dyDescent="0.25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75" x14ac:dyDescent="0.25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75" x14ac:dyDescent="0.25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75" x14ac:dyDescent="0.25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75" x14ac:dyDescent="0.25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75" x14ac:dyDescent="0.25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75" x14ac:dyDescent="0.25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75" x14ac:dyDescent="0.25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75" x14ac:dyDescent="0.25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75" x14ac:dyDescent="0.25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75" x14ac:dyDescent="0.25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75" x14ac:dyDescent="0.25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5" thickBot="1" x14ac:dyDescent="0.3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5" thickBot="1" x14ac:dyDescent="0.3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14AE98E8-156C-417E-BA7E-1BAACB87F014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22" t="str">
        <f xml:space="preserve"> "CARS PASSING THROUGH " &amp; Location</f>
        <v>CARS PASSING THROUGH OODLA WIRRA</v>
      </c>
      <c r="C2" s="323"/>
      <c r="D2" s="323"/>
      <c r="E2" s="323"/>
      <c r="F2" s="323"/>
      <c r="G2" s="323"/>
      <c r="H2" s="323"/>
      <c r="I2" s="324"/>
    </row>
    <row r="3" spans="2:9" ht="18.75" thickBot="1" x14ac:dyDescent="0.25">
      <c r="B3" s="325" t="str">
        <f>Month &amp; " " &amp; Year</f>
        <v>April 2018</v>
      </c>
      <c r="C3" s="326"/>
      <c r="D3" s="326"/>
      <c r="E3" s="326"/>
      <c r="F3" s="326"/>
      <c r="G3" s="326"/>
      <c r="H3" s="326"/>
      <c r="I3" s="327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14AE98E8-156C-417E-BA7E-1BAACB87F014}" showGridLines="0" showRowCol="0">
      <selection activeCell="C5" sqref="C5"/>
    </customSheetView>
    <customSheetView guid="{9D06DB57-12DF-4033-9E9B-75F04FBF1F60}" showGridLines="0" showRowCol="0">
      <selection activeCell="C5" sqref="C5"/>
    </customSheetView>
    <customSheetView guid="{5BEA7E47-9D9F-4ED1-B143-C5704EA3C6AB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25" t="e">
        <f>#REF!&amp; " " &amp;#REF!</f>
        <v>#REF!</v>
      </c>
      <c r="B2" s="326"/>
      <c r="C2" s="326"/>
      <c r="D2" s="326"/>
      <c r="E2" s="326"/>
      <c r="F2" s="326"/>
      <c r="G2" s="326"/>
      <c r="H2" s="327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14AE98E8-156C-417E-BA7E-1BAACB87F014}" showGridLines="0" state="hidden">
      <selection activeCell="A2" sqref="A2:H2"/>
    </customSheetView>
    <customSheetView guid="{9D06DB57-12DF-4033-9E9B-75F04FBF1F60}" showGridLines="0" state="hidden">
      <selection activeCell="A2" sqref="A2:H2"/>
    </customSheetView>
    <customSheetView guid="{5BEA7E47-9D9F-4ED1-B143-C5704EA3C6AB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140625" style="38" customWidth="1"/>
    <col min="9" max="9" width="13.140625" style="38" customWidth="1"/>
    <col min="10" max="10" width="12.42578125" style="49" customWidth="1"/>
    <col min="11" max="11" width="9.28515625" style="49" customWidth="1"/>
    <col min="12" max="12" width="12.28515625" style="49" customWidth="1"/>
    <col min="13" max="13" width="13.140625" style="49" customWidth="1"/>
    <col min="14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22" t="str">
        <f>"VEHICLES PASSING THROUGH " &amp; Location &amp; " - MIDNIGHT SHIFT "</f>
        <v xml:space="preserve">VEHICLES PASSING THROUGH OODLA WIRRA - MIDNIGHT SHIFT </v>
      </c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28"/>
    </row>
    <row r="3" spans="2:14" ht="16.5" thickBot="1" x14ac:dyDescent="0.25">
      <c r="B3" s="319" t="str">
        <f>Month &amp; " " &amp; Year</f>
        <v>April 2018</v>
      </c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1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33" t="s">
        <v>23</v>
      </c>
      <c r="J4" s="202" t="s">
        <v>63</v>
      </c>
      <c r="K4" s="33" t="s">
        <v>15</v>
      </c>
      <c r="L4" s="33" t="s">
        <v>8</v>
      </c>
      <c r="M4" s="33" t="s">
        <v>21</v>
      </c>
      <c r="N4" s="33" t="s">
        <v>22</v>
      </c>
    </row>
    <row r="5" spans="2:14" x14ac:dyDescent="0.2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71">
        <f t="shared" ref="I5:I35" si="0">SUM(C5:H5)</f>
        <v>0</v>
      </c>
      <c r="J5" s="41">
        <v>0</v>
      </c>
      <c r="K5" s="41">
        <v>0</v>
      </c>
      <c r="L5" s="71">
        <f>SUM(I5+J5+K5)</f>
        <v>0</v>
      </c>
      <c r="M5" s="41">
        <v>0</v>
      </c>
      <c r="N5" s="52">
        <v>0</v>
      </c>
    </row>
    <row r="6" spans="2:14" x14ac:dyDescent="0.2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72">
        <f t="shared" si="0"/>
        <v>0</v>
      </c>
      <c r="J6" s="44">
        <v>0</v>
      </c>
      <c r="K6" s="44">
        <v>0</v>
      </c>
      <c r="L6" s="72">
        <f t="shared" ref="L6:L35" si="1">SUM(I6+J6+K6)</f>
        <v>0</v>
      </c>
      <c r="M6" s="44">
        <v>0</v>
      </c>
      <c r="N6" s="53">
        <v>0</v>
      </c>
    </row>
    <row r="7" spans="2:14" x14ac:dyDescent="0.2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72">
        <f t="shared" si="0"/>
        <v>0</v>
      </c>
      <c r="J7" s="44">
        <v>0</v>
      </c>
      <c r="K7" s="44">
        <v>0</v>
      </c>
      <c r="L7" s="72">
        <f t="shared" si="1"/>
        <v>0</v>
      </c>
      <c r="M7" s="44">
        <v>0</v>
      </c>
      <c r="N7" s="53">
        <v>0</v>
      </c>
    </row>
    <row r="8" spans="2:14" x14ac:dyDescent="0.2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72">
        <f t="shared" si="0"/>
        <v>0</v>
      </c>
      <c r="J8" s="44">
        <v>0</v>
      </c>
      <c r="K8" s="44">
        <v>0</v>
      </c>
      <c r="L8" s="72">
        <f t="shared" si="1"/>
        <v>0</v>
      </c>
      <c r="M8" s="44">
        <v>0</v>
      </c>
      <c r="N8" s="53">
        <v>0</v>
      </c>
    </row>
    <row r="9" spans="2:14" x14ac:dyDescent="0.2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72">
        <f t="shared" si="0"/>
        <v>0</v>
      </c>
      <c r="J9" s="44">
        <v>0</v>
      </c>
      <c r="K9" s="44">
        <v>0</v>
      </c>
      <c r="L9" s="72">
        <f t="shared" si="1"/>
        <v>0</v>
      </c>
      <c r="M9" s="44">
        <v>0</v>
      </c>
      <c r="N9" s="53">
        <v>0</v>
      </c>
    </row>
    <row r="10" spans="2:14" x14ac:dyDescent="0.2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72">
        <f t="shared" si="0"/>
        <v>0</v>
      </c>
      <c r="J10" s="44">
        <v>0</v>
      </c>
      <c r="K10" s="44">
        <v>0</v>
      </c>
      <c r="L10" s="72">
        <f t="shared" si="1"/>
        <v>0</v>
      </c>
      <c r="M10" s="44">
        <v>0</v>
      </c>
      <c r="N10" s="53">
        <v>0</v>
      </c>
    </row>
    <row r="11" spans="2:14" x14ac:dyDescent="0.2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72">
        <f t="shared" si="0"/>
        <v>0</v>
      </c>
      <c r="J11" s="44">
        <v>0</v>
      </c>
      <c r="K11" s="44">
        <v>0</v>
      </c>
      <c r="L11" s="72">
        <f t="shared" si="1"/>
        <v>0</v>
      </c>
      <c r="M11" s="44">
        <v>0</v>
      </c>
      <c r="N11" s="53">
        <v>0</v>
      </c>
    </row>
    <row r="12" spans="2:14" x14ac:dyDescent="0.2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72">
        <f t="shared" si="0"/>
        <v>0</v>
      </c>
      <c r="J12" s="44">
        <v>0</v>
      </c>
      <c r="K12" s="44">
        <v>0</v>
      </c>
      <c r="L12" s="72">
        <f t="shared" si="1"/>
        <v>0</v>
      </c>
      <c r="M12" s="44">
        <v>0</v>
      </c>
      <c r="N12" s="53">
        <v>0</v>
      </c>
    </row>
    <row r="13" spans="2:14" x14ac:dyDescent="0.2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72">
        <f t="shared" si="0"/>
        <v>0</v>
      </c>
      <c r="J13" s="44">
        <v>0</v>
      </c>
      <c r="K13" s="44">
        <v>0</v>
      </c>
      <c r="L13" s="72">
        <f t="shared" si="1"/>
        <v>0</v>
      </c>
      <c r="M13" s="44">
        <v>0</v>
      </c>
      <c r="N13" s="53">
        <v>0</v>
      </c>
    </row>
    <row r="14" spans="2:14" x14ac:dyDescent="0.2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72">
        <f t="shared" si="0"/>
        <v>0</v>
      </c>
      <c r="J14" s="44">
        <v>0</v>
      </c>
      <c r="K14" s="44">
        <v>0</v>
      </c>
      <c r="L14" s="72">
        <f t="shared" si="1"/>
        <v>0</v>
      </c>
      <c r="M14" s="44">
        <v>0</v>
      </c>
      <c r="N14" s="53">
        <v>0</v>
      </c>
    </row>
    <row r="15" spans="2:14" x14ac:dyDescent="0.2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72">
        <f t="shared" si="0"/>
        <v>0</v>
      </c>
      <c r="J15" s="44">
        <v>0</v>
      </c>
      <c r="K15" s="44">
        <v>0</v>
      </c>
      <c r="L15" s="72">
        <f t="shared" si="1"/>
        <v>0</v>
      </c>
      <c r="M15" s="44">
        <v>0</v>
      </c>
      <c r="N15" s="53">
        <v>0</v>
      </c>
    </row>
    <row r="16" spans="2:14" x14ac:dyDescent="0.2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72">
        <f t="shared" si="0"/>
        <v>0</v>
      </c>
      <c r="J16" s="44">
        <v>0</v>
      </c>
      <c r="K16" s="44">
        <v>0</v>
      </c>
      <c r="L16" s="72">
        <f t="shared" si="1"/>
        <v>0</v>
      </c>
      <c r="M16" s="44">
        <v>0</v>
      </c>
      <c r="N16" s="53">
        <v>0</v>
      </c>
    </row>
    <row r="17" spans="2:14" x14ac:dyDescent="0.2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72">
        <f t="shared" si="0"/>
        <v>0</v>
      </c>
      <c r="J17" s="44">
        <v>0</v>
      </c>
      <c r="K17" s="44">
        <v>0</v>
      </c>
      <c r="L17" s="72">
        <f t="shared" si="1"/>
        <v>0</v>
      </c>
      <c r="M17" s="44">
        <v>0</v>
      </c>
      <c r="N17" s="53">
        <v>0</v>
      </c>
    </row>
    <row r="18" spans="2:14" x14ac:dyDescent="0.2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72">
        <f t="shared" si="0"/>
        <v>0</v>
      </c>
      <c r="J18" s="44">
        <v>0</v>
      </c>
      <c r="K18" s="44">
        <v>0</v>
      </c>
      <c r="L18" s="72">
        <f t="shared" si="1"/>
        <v>0</v>
      </c>
      <c r="M18" s="44">
        <v>0</v>
      </c>
      <c r="N18" s="53">
        <v>0</v>
      </c>
    </row>
    <row r="19" spans="2:14" x14ac:dyDescent="0.2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72">
        <f t="shared" si="0"/>
        <v>0</v>
      </c>
      <c r="J19" s="44">
        <v>0</v>
      </c>
      <c r="K19" s="44">
        <v>0</v>
      </c>
      <c r="L19" s="72">
        <f t="shared" si="1"/>
        <v>0</v>
      </c>
      <c r="M19" s="44">
        <v>0</v>
      </c>
      <c r="N19" s="53">
        <v>0</v>
      </c>
    </row>
    <row r="20" spans="2:14" x14ac:dyDescent="0.2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72">
        <f t="shared" si="0"/>
        <v>0</v>
      </c>
      <c r="J20" s="44">
        <v>0</v>
      </c>
      <c r="K20" s="44">
        <v>0</v>
      </c>
      <c r="L20" s="72">
        <f t="shared" si="1"/>
        <v>0</v>
      </c>
      <c r="M20" s="44">
        <v>0</v>
      </c>
      <c r="N20" s="53">
        <v>0</v>
      </c>
    </row>
    <row r="21" spans="2:14" x14ac:dyDescent="0.2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72">
        <f t="shared" si="0"/>
        <v>0</v>
      </c>
      <c r="J21" s="44">
        <v>0</v>
      </c>
      <c r="K21" s="44">
        <v>0</v>
      </c>
      <c r="L21" s="72">
        <f t="shared" si="1"/>
        <v>0</v>
      </c>
      <c r="M21" s="44">
        <v>0</v>
      </c>
      <c r="N21" s="53">
        <v>0</v>
      </c>
    </row>
    <row r="22" spans="2:14" x14ac:dyDescent="0.2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72">
        <f t="shared" si="0"/>
        <v>0</v>
      </c>
      <c r="J22" s="44">
        <v>0</v>
      </c>
      <c r="K22" s="44">
        <v>0</v>
      </c>
      <c r="L22" s="72">
        <f t="shared" si="1"/>
        <v>0</v>
      </c>
      <c r="M22" s="44">
        <v>0</v>
      </c>
      <c r="N22" s="53">
        <v>0</v>
      </c>
    </row>
    <row r="23" spans="2:14" x14ac:dyDescent="0.2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72">
        <f t="shared" si="0"/>
        <v>0</v>
      </c>
      <c r="J23" s="44">
        <v>0</v>
      </c>
      <c r="K23" s="44">
        <v>0</v>
      </c>
      <c r="L23" s="72">
        <f t="shared" si="1"/>
        <v>0</v>
      </c>
      <c r="M23" s="44">
        <v>0</v>
      </c>
      <c r="N23" s="53">
        <v>0</v>
      </c>
    </row>
    <row r="24" spans="2:14" x14ac:dyDescent="0.2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72">
        <f t="shared" si="0"/>
        <v>0</v>
      </c>
      <c r="J24" s="44">
        <v>0</v>
      </c>
      <c r="K24" s="44">
        <v>0</v>
      </c>
      <c r="L24" s="72">
        <f t="shared" si="1"/>
        <v>0</v>
      </c>
      <c r="M24" s="44">
        <v>0</v>
      </c>
      <c r="N24" s="53">
        <v>0</v>
      </c>
    </row>
    <row r="25" spans="2:14" x14ac:dyDescent="0.2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72">
        <f t="shared" si="0"/>
        <v>0</v>
      </c>
      <c r="J25" s="44">
        <v>0</v>
      </c>
      <c r="K25" s="44">
        <v>0</v>
      </c>
      <c r="L25" s="72">
        <f t="shared" si="1"/>
        <v>0</v>
      </c>
      <c r="M25" s="44">
        <v>0</v>
      </c>
      <c r="N25" s="53">
        <v>0</v>
      </c>
    </row>
    <row r="26" spans="2:14" x14ac:dyDescent="0.2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72">
        <f t="shared" si="0"/>
        <v>0</v>
      </c>
      <c r="J26" s="44">
        <v>0</v>
      </c>
      <c r="K26" s="44">
        <v>0</v>
      </c>
      <c r="L26" s="72">
        <f t="shared" si="1"/>
        <v>0</v>
      </c>
      <c r="M26" s="44">
        <v>0</v>
      </c>
      <c r="N26" s="53">
        <v>0</v>
      </c>
    </row>
    <row r="27" spans="2:14" x14ac:dyDescent="0.2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72">
        <f t="shared" si="0"/>
        <v>0</v>
      </c>
      <c r="J27" s="44">
        <v>0</v>
      </c>
      <c r="K27" s="44">
        <v>0</v>
      </c>
      <c r="L27" s="72">
        <f t="shared" si="1"/>
        <v>0</v>
      </c>
      <c r="M27" s="44">
        <v>0</v>
      </c>
      <c r="N27" s="53">
        <v>0</v>
      </c>
    </row>
    <row r="28" spans="2:14" x14ac:dyDescent="0.2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72">
        <f t="shared" si="0"/>
        <v>0</v>
      </c>
      <c r="J28" s="44">
        <v>0</v>
      </c>
      <c r="K28" s="44">
        <v>0</v>
      </c>
      <c r="L28" s="72">
        <f t="shared" si="1"/>
        <v>0</v>
      </c>
      <c r="M28" s="44">
        <v>0</v>
      </c>
      <c r="N28" s="53">
        <v>0</v>
      </c>
    </row>
    <row r="29" spans="2:14" x14ac:dyDescent="0.2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72">
        <f t="shared" si="0"/>
        <v>0</v>
      </c>
      <c r="J29" s="44">
        <v>0</v>
      </c>
      <c r="K29" s="44">
        <v>0</v>
      </c>
      <c r="L29" s="72">
        <f t="shared" si="1"/>
        <v>0</v>
      </c>
      <c r="M29" s="44">
        <v>0</v>
      </c>
      <c r="N29" s="53">
        <v>0</v>
      </c>
    </row>
    <row r="30" spans="2:14" x14ac:dyDescent="0.2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72">
        <f t="shared" si="0"/>
        <v>0</v>
      </c>
      <c r="J30" s="44">
        <v>0</v>
      </c>
      <c r="K30" s="44">
        <v>0</v>
      </c>
      <c r="L30" s="72">
        <f t="shared" si="1"/>
        <v>0</v>
      </c>
      <c r="M30" s="44">
        <v>0</v>
      </c>
      <c r="N30" s="53">
        <v>0</v>
      </c>
    </row>
    <row r="31" spans="2:14" x14ac:dyDescent="0.2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72">
        <f t="shared" si="0"/>
        <v>0</v>
      </c>
      <c r="J31" s="44">
        <v>0</v>
      </c>
      <c r="K31" s="44">
        <v>0</v>
      </c>
      <c r="L31" s="72">
        <f t="shared" si="1"/>
        <v>0</v>
      </c>
      <c r="M31" s="44">
        <v>0</v>
      </c>
      <c r="N31" s="53">
        <v>0</v>
      </c>
    </row>
    <row r="32" spans="2:14" x14ac:dyDescent="0.2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72">
        <f t="shared" si="0"/>
        <v>0</v>
      </c>
      <c r="J32" s="44">
        <v>0</v>
      </c>
      <c r="K32" s="44">
        <v>0</v>
      </c>
      <c r="L32" s="72">
        <f t="shared" si="1"/>
        <v>0</v>
      </c>
      <c r="M32" s="44">
        <v>0</v>
      </c>
      <c r="N32" s="53">
        <v>0</v>
      </c>
    </row>
    <row r="33" spans="2:14" x14ac:dyDescent="0.2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72">
        <f t="shared" si="0"/>
        <v>0</v>
      </c>
      <c r="J33" s="44">
        <v>0</v>
      </c>
      <c r="K33" s="44">
        <v>0</v>
      </c>
      <c r="L33" s="72">
        <f t="shared" si="1"/>
        <v>0</v>
      </c>
      <c r="M33" s="44">
        <v>0</v>
      </c>
      <c r="N33" s="53">
        <v>0</v>
      </c>
    </row>
    <row r="34" spans="2:14" x14ac:dyDescent="0.2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72">
        <f t="shared" si="0"/>
        <v>0</v>
      </c>
      <c r="J34" s="44">
        <v>0</v>
      </c>
      <c r="K34" s="44">
        <v>0</v>
      </c>
      <c r="L34" s="72">
        <f t="shared" si="1"/>
        <v>0</v>
      </c>
      <c r="M34" s="44">
        <v>0</v>
      </c>
      <c r="N34" s="53">
        <v>0</v>
      </c>
    </row>
    <row r="35" spans="2:14" ht="15.75" thickBot="1" x14ac:dyDescent="0.2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73">
        <f t="shared" si="0"/>
        <v>0</v>
      </c>
      <c r="J35" s="46">
        <v>0</v>
      </c>
      <c r="K35" s="46">
        <v>0</v>
      </c>
      <c r="L35" s="73">
        <f t="shared" si="1"/>
        <v>0</v>
      </c>
      <c r="M35" s="46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4"/>
    </row>
    <row r="37" spans="2:14" ht="15.75" thickBot="1" x14ac:dyDescent="0.25">
      <c r="B37" s="55" t="s">
        <v>7</v>
      </c>
      <c r="C37" s="73">
        <f t="shared" ref="C37:L37" si="2">SUM(C5:C35)</f>
        <v>0</v>
      </c>
      <c r="D37" s="73">
        <f t="shared" si="2"/>
        <v>0</v>
      </c>
      <c r="E37" s="73">
        <f t="shared" si="2"/>
        <v>0</v>
      </c>
      <c r="F37" s="73">
        <f t="shared" si="2"/>
        <v>0</v>
      </c>
      <c r="G37" s="73">
        <f t="shared" si="2"/>
        <v>0</v>
      </c>
      <c r="H37" s="73">
        <f t="shared" si="2"/>
        <v>0</v>
      </c>
      <c r="I37" s="73">
        <f t="shared" si="2"/>
        <v>0</v>
      </c>
      <c r="J37" s="73">
        <f t="shared" si="2"/>
        <v>0</v>
      </c>
      <c r="K37" s="73">
        <f t="shared" si="2"/>
        <v>0</v>
      </c>
      <c r="L37" s="73">
        <f t="shared" si="2"/>
        <v>0</v>
      </c>
      <c r="M37" s="73">
        <f>SUM(M5:M35)</f>
        <v>0</v>
      </c>
      <c r="N37" s="75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</row>
    <row r="39" spans="2:14" x14ac:dyDescent="0.2">
      <c r="C39" s="56" t="e">
        <f t="shared" ref="C39:K39" si="3">+C37/$I$37%</f>
        <v>#DIV/0!</v>
      </c>
      <c r="D39" s="56" t="e">
        <f t="shared" si="3"/>
        <v>#DIV/0!</v>
      </c>
      <c r="E39" s="56" t="e">
        <f t="shared" si="3"/>
        <v>#DIV/0!</v>
      </c>
      <c r="F39" s="56" t="e">
        <f t="shared" si="3"/>
        <v>#DIV/0!</v>
      </c>
      <c r="G39" s="56" t="e">
        <f t="shared" si="3"/>
        <v>#DIV/0!</v>
      </c>
      <c r="H39" s="56" t="e">
        <f t="shared" si="3"/>
        <v>#DIV/0!</v>
      </c>
      <c r="I39" s="56" t="e">
        <f>SUM(C39+D39+E39+F39+G39+H39)</f>
        <v>#DIV/0!</v>
      </c>
      <c r="J39" s="56" t="e">
        <f t="shared" si="3"/>
        <v>#DIV/0!</v>
      </c>
      <c r="K39" s="56" t="e">
        <f t="shared" si="3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</row>
    <row r="41" spans="2:14" x14ac:dyDescent="0.2">
      <c r="C41" s="49"/>
      <c r="D41" s="49"/>
      <c r="E41" s="49"/>
      <c r="F41" s="49"/>
      <c r="G41" s="49"/>
      <c r="H41" s="49"/>
      <c r="I41" s="49"/>
    </row>
    <row r="42" spans="2:14" x14ac:dyDescent="0.2">
      <c r="C42" s="49"/>
      <c r="D42" s="49"/>
      <c r="E42" s="49"/>
      <c r="F42" s="49"/>
      <c r="G42" s="49"/>
      <c r="H42" s="49"/>
      <c r="I42" s="49"/>
    </row>
    <row r="43" spans="2:14" x14ac:dyDescent="0.2">
      <c r="C43" s="49"/>
      <c r="D43" s="49"/>
      <c r="E43" s="49"/>
      <c r="F43" s="49"/>
      <c r="G43" s="49"/>
      <c r="H43" s="49"/>
      <c r="I43" s="49"/>
    </row>
    <row r="44" spans="2:14" x14ac:dyDescent="0.2">
      <c r="C44" s="49"/>
      <c r="D44" s="49"/>
      <c r="E44" s="49"/>
      <c r="F44" s="49"/>
      <c r="G44" s="49"/>
      <c r="H44" s="49"/>
      <c r="I44" s="49"/>
    </row>
    <row r="45" spans="2:14" x14ac:dyDescent="0.2">
      <c r="C45" s="49"/>
      <c r="D45" s="49"/>
      <c r="E45" s="49"/>
      <c r="F45" s="49"/>
      <c r="G45" s="49"/>
      <c r="H45" s="49"/>
      <c r="I45" s="49"/>
    </row>
    <row r="46" spans="2:14" x14ac:dyDescent="0.2">
      <c r="C46" s="49"/>
      <c r="D46" s="49"/>
      <c r="E46" s="49"/>
      <c r="F46" s="49"/>
      <c r="G46" s="49"/>
      <c r="H46" s="49"/>
      <c r="I46" s="49"/>
    </row>
    <row r="47" spans="2:14" x14ac:dyDescent="0.2">
      <c r="C47" s="49"/>
      <c r="D47" s="49"/>
      <c r="E47" s="49"/>
      <c r="F47" s="49"/>
      <c r="G47" s="49"/>
      <c r="H47" s="49"/>
      <c r="I47" s="49"/>
    </row>
    <row r="48" spans="2:14" x14ac:dyDescent="0.2">
      <c r="C48" s="49"/>
      <c r="D48" s="49"/>
      <c r="E48" s="49"/>
      <c r="F48" s="49"/>
      <c r="G48" s="49"/>
      <c r="H48" s="49"/>
      <c r="I48" s="49"/>
    </row>
    <row r="49" spans="3:9" x14ac:dyDescent="0.2">
      <c r="C49" s="49"/>
      <c r="D49" s="49"/>
      <c r="E49" s="49"/>
      <c r="F49" s="49"/>
      <c r="G49" s="49"/>
      <c r="H49" s="49"/>
      <c r="I49" s="49"/>
    </row>
    <row r="50" spans="3:9" x14ac:dyDescent="0.2">
      <c r="C50" s="49"/>
      <c r="D50" s="49"/>
      <c r="E50" s="49"/>
      <c r="F50" s="49"/>
      <c r="G50" s="49"/>
      <c r="H50" s="49"/>
      <c r="I50" s="49"/>
    </row>
    <row r="51" spans="3:9" x14ac:dyDescent="0.2">
      <c r="C51" s="49"/>
      <c r="D51" s="49"/>
      <c r="E51" s="49"/>
      <c r="F51" s="49"/>
      <c r="G51" s="49"/>
      <c r="H51" s="49"/>
      <c r="I51" s="49"/>
    </row>
    <row r="52" spans="3:9" x14ac:dyDescent="0.2">
      <c r="C52" s="49"/>
      <c r="D52" s="49"/>
      <c r="E52" s="49"/>
      <c r="F52" s="49"/>
      <c r="G52" s="49"/>
      <c r="H52" s="49"/>
      <c r="I52" s="49"/>
    </row>
    <row r="53" spans="3:9" x14ac:dyDescent="0.2">
      <c r="C53" s="49"/>
      <c r="D53" s="49"/>
      <c r="E53" s="49"/>
      <c r="F53" s="49"/>
      <c r="G53" s="49"/>
      <c r="H53" s="49"/>
      <c r="I53" s="49"/>
    </row>
    <row r="54" spans="3:9" x14ac:dyDescent="0.2">
      <c r="C54" s="49"/>
      <c r="D54" s="49"/>
      <c r="E54" s="49"/>
      <c r="F54" s="49"/>
      <c r="G54" s="49"/>
      <c r="H54" s="49"/>
      <c r="I54" s="49"/>
    </row>
    <row r="55" spans="3:9" x14ac:dyDescent="0.2">
      <c r="C55" s="49"/>
      <c r="D55" s="49"/>
      <c r="E55" s="49"/>
      <c r="F55" s="49"/>
      <c r="G55" s="49"/>
      <c r="H55" s="49"/>
      <c r="I55" s="49"/>
    </row>
    <row r="56" spans="3:9" x14ac:dyDescent="0.2">
      <c r="C56" s="49"/>
      <c r="D56" s="49"/>
      <c r="E56" s="49"/>
      <c r="F56" s="49"/>
      <c r="G56" s="49"/>
      <c r="H56" s="49"/>
      <c r="I56" s="49"/>
    </row>
  </sheetData>
  <sheetProtection sheet="1" objects="1" scenarios="1" selectLockedCells="1"/>
  <customSheetViews>
    <customSheetView guid="{14AE98E8-156C-417E-BA7E-1BAACB87F014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2.75" x14ac:dyDescent="0.2"/>
  <cols>
    <col min="1" max="1" width="2.85546875" customWidth="1"/>
    <col min="2" max="2" width="2.28515625" customWidth="1"/>
    <col min="4" max="4" width="16" customWidth="1"/>
    <col min="5" max="9" width="14.7109375" customWidth="1"/>
  </cols>
  <sheetData>
    <row r="2" spans="4:9" ht="13.5" thickBot="1" x14ac:dyDescent="0.25"/>
    <row r="3" spans="4:9" ht="42.75" customHeight="1" thickBot="1" x14ac:dyDescent="0.25">
      <c r="D3" s="329" t="str">
        <f>Location&amp;" - Traffic Volumes per Shift - "&amp; Month &amp; " " &amp; Year</f>
        <v>OODLA WIRRA - Traffic Volumes per Shift - April 2018</v>
      </c>
      <c r="E3" s="330"/>
      <c r="F3" s="331"/>
      <c r="G3" s="331"/>
      <c r="H3" s="331"/>
      <c r="I3" s="332"/>
    </row>
    <row r="4" spans="4:9" ht="18.75" thickBot="1" x14ac:dyDescent="0.25">
      <c r="D4" s="278" t="s">
        <v>105</v>
      </c>
      <c r="E4" s="279" t="s">
        <v>104</v>
      </c>
      <c r="F4" s="280" t="s">
        <v>102</v>
      </c>
      <c r="G4" s="280" t="s">
        <v>12</v>
      </c>
      <c r="H4" s="280" t="s">
        <v>13</v>
      </c>
      <c r="I4" s="281" t="s">
        <v>29</v>
      </c>
    </row>
    <row r="5" spans="4:9" ht="15" x14ac:dyDescent="0.2">
      <c r="D5" s="282">
        <f>DATE(Year,MONTH(1&amp;Month),1)</f>
        <v>43191</v>
      </c>
      <c r="E5" s="285">
        <v>1</v>
      </c>
      <c r="F5" s="290"/>
      <c r="G5" s="291"/>
      <c r="H5" s="292"/>
      <c r="I5" s="287">
        <f>SUM(F5:H5)</f>
        <v>0</v>
      </c>
    </row>
    <row r="6" spans="4:9" ht="15" x14ac:dyDescent="0.2">
      <c r="D6" s="283">
        <f>D5+1</f>
        <v>43192</v>
      </c>
      <c r="E6" s="286">
        <v>2</v>
      </c>
      <c r="F6" s="293"/>
      <c r="G6" s="276"/>
      <c r="H6" s="294"/>
      <c r="I6" s="288">
        <f t="shared" ref="I6:I35" si="0">SUM(F6:H6)</f>
        <v>0</v>
      </c>
    </row>
    <row r="7" spans="4:9" ht="15" x14ac:dyDescent="0.2">
      <c r="D7" s="283">
        <f>D6+1</f>
        <v>43193</v>
      </c>
      <c r="E7" s="286">
        <v>3</v>
      </c>
      <c r="F7" s="293"/>
      <c r="G7" s="276"/>
      <c r="H7" s="294"/>
      <c r="I7" s="288">
        <f t="shared" si="0"/>
        <v>0</v>
      </c>
    </row>
    <row r="8" spans="4:9" ht="15" x14ac:dyDescent="0.2">
      <c r="D8" s="283">
        <f t="shared" ref="D8:D35" si="1">D7+1</f>
        <v>43194</v>
      </c>
      <c r="E8" s="286">
        <v>4</v>
      </c>
      <c r="F8" s="293"/>
      <c r="G8" s="276"/>
      <c r="H8" s="294"/>
      <c r="I8" s="288">
        <f t="shared" si="0"/>
        <v>0</v>
      </c>
    </row>
    <row r="9" spans="4:9" ht="15" x14ac:dyDescent="0.2">
      <c r="D9" s="283">
        <f t="shared" si="1"/>
        <v>43195</v>
      </c>
      <c r="E9" s="286">
        <v>5</v>
      </c>
      <c r="F9" s="293"/>
      <c r="G9" s="276"/>
      <c r="H9" s="294"/>
      <c r="I9" s="288">
        <f t="shared" si="0"/>
        <v>0</v>
      </c>
    </row>
    <row r="10" spans="4:9" ht="15" x14ac:dyDescent="0.2">
      <c r="D10" s="283">
        <f t="shared" si="1"/>
        <v>43196</v>
      </c>
      <c r="E10" s="286">
        <v>6</v>
      </c>
      <c r="F10" s="293"/>
      <c r="G10" s="276"/>
      <c r="H10" s="294"/>
      <c r="I10" s="288">
        <f t="shared" si="0"/>
        <v>0</v>
      </c>
    </row>
    <row r="11" spans="4:9" ht="15" x14ac:dyDescent="0.2">
      <c r="D11" s="283">
        <f t="shared" si="1"/>
        <v>43197</v>
      </c>
      <c r="E11" s="286">
        <v>7</v>
      </c>
      <c r="F11" s="293"/>
      <c r="G11" s="276"/>
      <c r="H11" s="294"/>
      <c r="I11" s="288">
        <f t="shared" si="0"/>
        <v>0</v>
      </c>
    </row>
    <row r="12" spans="4:9" ht="15" x14ac:dyDescent="0.2">
      <c r="D12" s="283">
        <f t="shared" si="1"/>
        <v>43198</v>
      </c>
      <c r="E12" s="286">
        <v>8</v>
      </c>
      <c r="F12" s="293"/>
      <c r="G12" s="276"/>
      <c r="H12" s="294"/>
      <c r="I12" s="288">
        <f t="shared" si="0"/>
        <v>0</v>
      </c>
    </row>
    <row r="13" spans="4:9" ht="15" x14ac:dyDescent="0.2">
      <c r="D13" s="283">
        <f t="shared" si="1"/>
        <v>43199</v>
      </c>
      <c r="E13" s="286">
        <v>9</v>
      </c>
      <c r="F13" s="293"/>
      <c r="G13" s="276"/>
      <c r="H13" s="294"/>
      <c r="I13" s="288">
        <f t="shared" si="0"/>
        <v>0</v>
      </c>
    </row>
    <row r="14" spans="4:9" ht="15" x14ac:dyDescent="0.2">
      <c r="D14" s="283">
        <f t="shared" si="1"/>
        <v>43200</v>
      </c>
      <c r="E14" s="286">
        <v>10</v>
      </c>
      <c r="F14" s="293"/>
      <c r="G14" s="276"/>
      <c r="H14" s="294"/>
      <c r="I14" s="288">
        <f t="shared" si="0"/>
        <v>0</v>
      </c>
    </row>
    <row r="15" spans="4:9" ht="15" x14ac:dyDescent="0.2">
      <c r="D15" s="283">
        <f t="shared" si="1"/>
        <v>43201</v>
      </c>
      <c r="E15" s="286">
        <v>11</v>
      </c>
      <c r="F15" s="293"/>
      <c r="G15" s="276"/>
      <c r="H15" s="294"/>
      <c r="I15" s="288">
        <f t="shared" si="0"/>
        <v>0</v>
      </c>
    </row>
    <row r="16" spans="4:9" ht="15" x14ac:dyDescent="0.2">
      <c r="D16" s="283">
        <f t="shared" si="1"/>
        <v>43202</v>
      </c>
      <c r="E16" s="286">
        <v>12</v>
      </c>
      <c r="F16" s="293"/>
      <c r="G16" s="276"/>
      <c r="H16" s="294"/>
      <c r="I16" s="288">
        <f t="shared" si="0"/>
        <v>0</v>
      </c>
    </row>
    <row r="17" spans="4:9" ht="15" x14ac:dyDescent="0.2">
      <c r="D17" s="283">
        <f t="shared" si="1"/>
        <v>43203</v>
      </c>
      <c r="E17" s="286">
        <v>13</v>
      </c>
      <c r="F17" s="293"/>
      <c r="G17" s="276"/>
      <c r="H17" s="294"/>
      <c r="I17" s="288">
        <f t="shared" si="0"/>
        <v>0</v>
      </c>
    </row>
    <row r="18" spans="4:9" ht="15" x14ac:dyDescent="0.2">
      <c r="D18" s="283">
        <f t="shared" si="1"/>
        <v>43204</v>
      </c>
      <c r="E18" s="286">
        <v>14</v>
      </c>
      <c r="F18" s="293"/>
      <c r="G18" s="276"/>
      <c r="H18" s="294"/>
      <c r="I18" s="288">
        <f t="shared" si="0"/>
        <v>0</v>
      </c>
    </row>
    <row r="19" spans="4:9" ht="15" x14ac:dyDescent="0.2">
      <c r="D19" s="283">
        <f t="shared" si="1"/>
        <v>43205</v>
      </c>
      <c r="E19" s="286">
        <v>15</v>
      </c>
      <c r="F19" s="293"/>
      <c r="G19" s="276"/>
      <c r="H19" s="294"/>
      <c r="I19" s="288">
        <f t="shared" si="0"/>
        <v>0</v>
      </c>
    </row>
    <row r="20" spans="4:9" ht="15" x14ac:dyDescent="0.2">
      <c r="D20" s="283">
        <f t="shared" si="1"/>
        <v>43206</v>
      </c>
      <c r="E20" s="286">
        <v>16</v>
      </c>
      <c r="F20" s="293"/>
      <c r="G20" s="276"/>
      <c r="H20" s="294"/>
      <c r="I20" s="288">
        <f t="shared" si="0"/>
        <v>0</v>
      </c>
    </row>
    <row r="21" spans="4:9" ht="15" x14ac:dyDescent="0.2">
      <c r="D21" s="283">
        <f t="shared" si="1"/>
        <v>43207</v>
      </c>
      <c r="E21" s="286">
        <v>17</v>
      </c>
      <c r="F21" s="293"/>
      <c r="G21" s="276"/>
      <c r="H21" s="294"/>
      <c r="I21" s="288">
        <f t="shared" si="0"/>
        <v>0</v>
      </c>
    </row>
    <row r="22" spans="4:9" ht="15" x14ac:dyDescent="0.2">
      <c r="D22" s="283">
        <f t="shared" si="1"/>
        <v>43208</v>
      </c>
      <c r="E22" s="286">
        <v>18</v>
      </c>
      <c r="F22" s="293"/>
      <c r="G22" s="276"/>
      <c r="H22" s="294"/>
      <c r="I22" s="288">
        <f t="shared" si="0"/>
        <v>0</v>
      </c>
    </row>
    <row r="23" spans="4:9" ht="15" x14ac:dyDescent="0.2">
      <c r="D23" s="283">
        <f t="shared" si="1"/>
        <v>43209</v>
      </c>
      <c r="E23" s="286">
        <v>19</v>
      </c>
      <c r="F23" s="293"/>
      <c r="G23" s="276"/>
      <c r="H23" s="294"/>
      <c r="I23" s="288">
        <f t="shared" si="0"/>
        <v>0</v>
      </c>
    </row>
    <row r="24" spans="4:9" ht="15" x14ac:dyDescent="0.2">
      <c r="D24" s="283">
        <f t="shared" si="1"/>
        <v>43210</v>
      </c>
      <c r="E24" s="286">
        <v>20</v>
      </c>
      <c r="F24" s="293"/>
      <c r="G24" s="276"/>
      <c r="H24" s="294"/>
      <c r="I24" s="288">
        <f t="shared" si="0"/>
        <v>0</v>
      </c>
    </row>
    <row r="25" spans="4:9" ht="15" x14ac:dyDescent="0.2">
      <c r="D25" s="283">
        <f t="shared" si="1"/>
        <v>43211</v>
      </c>
      <c r="E25" s="286">
        <v>21</v>
      </c>
      <c r="F25" s="293"/>
      <c r="G25" s="276"/>
      <c r="H25" s="294"/>
      <c r="I25" s="288">
        <f t="shared" si="0"/>
        <v>0</v>
      </c>
    </row>
    <row r="26" spans="4:9" ht="15" x14ac:dyDescent="0.2">
      <c r="D26" s="283">
        <f t="shared" si="1"/>
        <v>43212</v>
      </c>
      <c r="E26" s="286">
        <v>22</v>
      </c>
      <c r="F26" s="293"/>
      <c r="G26" s="276"/>
      <c r="H26" s="294"/>
      <c r="I26" s="288">
        <f t="shared" si="0"/>
        <v>0</v>
      </c>
    </row>
    <row r="27" spans="4:9" ht="15" x14ac:dyDescent="0.2">
      <c r="D27" s="283">
        <f t="shared" si="1"/>
        <v>43213</v>
      </c>
      <c r="E27" s="286">
        <v>23</v>
      </c>
      <c r="F27" s="293"/>
      <c r="G27" s="276"/>
      <c r="H27" s="294"/>
      <c r="I27" s="288">
        <f t="shared" si="0"/>
        <v>0</v>
      </c>
    </row>
    <row r="28" spans="4:9" ht="15" x14ac:dyDescent="0.2">
      <c r="D28" s="283">
        <f t="shared" si="1"/>
        <v>43214</v>
      </c>
      <c r="E28" s="286">
        <v>24</v>
      </c>
      <c r="F28" s="293"/>
      <c r="G28" s="276"/>
      <c r="H28" s="294"/>
      <c r="I28" s="288">
        <f t="shared" si="0"/>
        <v>0</v>
      </c>
    </row>
    <row r="29" spans="4:9" ht="15" x14ac:dyDescent="0.2">
      <c r="D29" s="283">
        <f t="shared" si="1"/>
        <v>43215</v>
      </c>
      <c r="E29" s="286">
        <v>25</v>
      </c>
      <c r="F29" s="293"/>
      <c r="G29" s="276"/>
      <c r="H29" s="294"/>
      <c r="I29" s="288">
        <f t="shared" si="0"/>
        <v>0</v>
      </c>
    </row>
    <row r="30" spans="4:9" ht="15" x14ac:dyDescent="0.2">
      <c r="D30" s="283">
        <f t="shared" si="1"/>
        <v>43216</v>
      </c>
      <c r="E30" s="286">
        <v>26</v>
      </c>
      <c r="F30" s="293"/>
      <c r="G30" s="276"/>
      <c r="H30" s="294"/>
      <c r="I30" s="288">
        <f t="shared" si="0"/>
        <v>0</v>
      </c>
    </row>
    <row r="31" spans="4:9" ht="15" x14ac:dyDescent="0.2">
      <c r="D31" s="283">
        <f t="shared" si="1"/>
        <v>43217</v>
      </c>
      <c r="E31" s="286">
        <v>27</v>
      </c>
      <c r="F31" s="293"/>
      <c r="G31" s="276"/>
      <c r="H31" s="294"/>
      <c r="I31" s="288">
        <f t="shared" si="0"/>
        <v>0</v>
      </c>
    </row>
    <row r="32" spans="4:9" ht="15" x14ac:dyDescent="0.2">
      <c r="D32" s="283">
        <f t="shared" si="1"/>
        <v>43218</v>
      </c>
      <c r="E32" s="286">
        <v>28</v>
      </c>
      <c r="F32" s="293"/>
      <c r="G32" s="276"/>
      <c r="H32" s="294"/>
      <c r="I32" s="288">
        <f t="shared" si="0"/>
        <v>0</v>
      </c>
    </row>
    <row r="33" spans="4:9" ht="15" x14ac:dyDescent="0.2">
      <c r="D33" s="283">
        <f t="shared" si="1"/>
        <v>43219</v>
      </c>
      <c r="E33" s="286">
        <v>29</v>
      </c>
      <c r="F33" s="293"/>
      <c r="G33" s="276"/>
      <c r="H33" s="294"/>
      <c r="I33" s="288">
        <f t="shared" si="0"/>
        <v>0</v>
      </c>
    </row>
    <row r="34" spans="4:9" ht="15" x14ac:dyDescent="0.2">
      <c r="D34" s="283">
        <f t="shared" si="1"/>
        <v>43220</v>
      </c>
      <c r="E34" s="286">
        <v>30</v>
      </c>
      <c r="F34" s="293"/>
      <c r="G34" s="276"/>
      <c r="H34" s="294"/>
      <c r="I34" s="288">
        <f t="shared" si="0"/>
        <v>0</v>
      </c>
    </row>
    <row r="35" spans="4:9" ht="15.75" thickBot="1" x14ac:dyDescent="0.25">
      <c r="D35" s="284">
        <f t="shared" si="1"/>
        <v>43221</v>
      </c>
      <c r="E35" s="295">
        <v>31</v>
      </c>
      <c r="F35" s="296"/>
      <c r="G35" s="277"/>
      <c r="H35" s="297"/>
      <c r="I35" s="289">
        <f t="shared" si="0"/>
        <v>0</v>
      </c>
    </row>
    <row r="36" spans="4:9" ht="16.5" thickBot="1" x14ac:dyDescent="0.3">
      <c r="D36" s="302"/>
      <c r="E36" s="303" t="s">
        <v>103</v>
      </c>
      <c r="F36" s="298">
        <f>SUM(F5:F35)</f>
        <v>0</v>
      </c>
      <c r="G36" s="299">
        <f t="shared" ref="G36:I36" si="2">SUM(G5:G35)</f>
        <v>0</v>
      </c>
      <c r="H36" s="300">
        <f t="shared" si="2"/>
        <v>0</v>
      </c>
      <c r="I36" s="301">
        <f t="shared" si="2"/>
        <v>0</v>
      </c>
    </row>
    <row r="37" spans="4:9" x14ac:dyDescent="0.2">
      <c r="D37" s="275"/>
      <c r="E37" s="275"/>
    </row>
    <row r="38" spans="4:9" x14ac:dyDescent="0.2">
      <c r="D38" s="275"/>
      <c r="E38" s="275"/>
    </row>
    <row r="39" spans="4:9" x14ac:dyDescent="0.2">
      <c r="D39" s="275"/>
      <c r="E39" s="275"/>
    </row>
    <row r="40" spans="4:9" x14ac:dyDescent="0.2">
      <c r="D40" s="275"/>
      <c r="E40" s="275"/>
    </row>
    <row r="41" spans="4:9" x14ac:dyDescent="0.2">
      <c r="D41" s="275"/>
      <c r="E41" s="275"/>
    </row>
    <row r="42" spans="4:9" x14ac:dyDescent="0.2">
      <c r="D42" s="275"/>
      <c r="E42" s="275"/>
    </row>
    <row r="43" spans="4:9" x14ac:dyDescent="0.2">
      <c r="D43" s="275"/>
      <c r="E43" s="275"/>
    </row>
    <row r="44" spans="4:9" x14ac:dyDescent="0.2">
      <c r="D44" s="275"/>
      <c r="E44" s="275"/>
    </row>
  </sheetData>
  <sheetProtection sheet="1" objects="1" scenarios="1" selectLockedCells="1"/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33" t="str">
        <f xml:space="preserve"> "VEHICLES WITH FRUIT PASSING THROUGH " &amp; Location</f>
        <v>VEHICLES WITH FRUIT PASSING THROUGH OODLA WIRRA</v>
      </c>
      <c r="D2" s="334"/>
      <c r="E2" s="334"/>
      <c r="F2" s="334"/>
      <c r="G2" s="334"/>
      <c r="H2" s="334"/>
      <c r="I2" s="334"/>
      <c r="J2" s="335"/>
    </row>
    <row r="3" spans="3:10" ht="16.5" thickBot="1" x14ac:dyDescent="0.25">
      <c r="C3" s="336" t="str">
        <f>Month &amp; " " &amp; Year</f>
        <v>April 2018</v>
      </c>
      <c r="D3" s="337"/>
      <c r="E3" s="337"/>
      <c r="F3" s="337"/>
      <c r="G3" s="337"/>
      <c r="H3" s="337"/>
      <c r="I3" s="337"/>
      <c r="J3" s="338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49</v>
      </c>
      <c r="J4" s="59" t="s">
        <v>8</v>
      </c>
    </row>
    <row r="5" spans="3:10" ht="15.75" x14ac:dyDescent="0.25">
      <c r="C5" s="61">
        <v>1</v>
      </c>
      <c r="D5" s="41"/>
      <c r="E5" s="41"/>
      <c r="F5" s="41"/>
      <c r="G5" s="41"/>
      <c r="H5" s="41"/>
      <c r="I5" s="41"/>
      <c r="J5" s="62">
        <f t="shared" ref="J5:J35" si="0">SUM(D5:I5)</f>
        <v>0</v>
      </c>
    </row>
    <row r="6" spans="3:10" ht="15.75" x14ac:dyDescent="0.25">
      <c r="C6" s="63">
        <v>2</v>
      </c>
      <c r="D6" s="44"/>
      <c r="E6" s="44"/>
      <c r="F6" s="44"/>
      <c r="G6" s="44"/>
      <c r="H6" s="44"/>
      <c r="I6" s="44"/>
      <c r="J6" s="64">
        <f t="shared" si="0"/>
        <v>0</v>
      </c>
    </row>
    <row r="7" spans="3:10" ht="15.75" x14ac:dyDescent="0.25">
      <c r="C7" s="63">
        <v>3</v>
      </c>
      <c r="D7" s="44"/>
      <c r="E7" s="44"/>
      <c r="F7" s="44"/>
      <c r="G7" s="44"/>
      <c r="H7" s="44"/>
      <c r="I7" s="44"/>
      <c r="J7" s="64">
        <f t="shared" si="0"/>
        <v>0</v>
      </c>
    </row>
    <row r="8" spans="3:10" ht="15.75" x14ac:dyDescent="0.25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75" x14ac:dyDescent="0.25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75" x14ac:dyDescent="0.25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75" x14ac:dyDescent="0.25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75" x14ac:dyDescent="0.25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75" x14ac:dyDescent="0.25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75" x14ac:dyDescent="0.25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75" x14ac:dyDescent="0.25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75" x14ac:dyDescent="0.25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75" x14ac:dyDescent="0.25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75" x14ac:dyDescent="0.25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75" x14ac:dyDescent="0.25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75" x14ac:dyDescent="0.25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75" x14ac:dyDescent="0.25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75" x14ac:dyDescent="0.25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75" x14ac:dyDescent="0.25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75" x14ac:dyDescent="0.25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75" x14ac:dyDescent="0.25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75" x14ac:dyDescent="0.25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75" x14ac:dyDescent="0.25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75" x14ac:dyDescent="0.25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75" x14ac:dyDescent="0.25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75" x14ac:dyDescent="0.25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75" x14ac:dyDescent="0.25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75" x14ac:dyDescent="0.25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75" x14ac:dyDescent="0.25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75" x14ac:dyDescent="0.25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5" thickBot="1" x14ac:dyDescent="0.3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14AE98E8-156C-417E-BA7E-1BAACB87F014}" scale="85" showGridLines="0" showRowCol="0">
      <selection activeCell="D5" sqref="D5"/>
    </customSheetView>
    <customSheetView guid="{9D06DB57-12DF-4033-9E9B-75F04FBF1F60}" scale="85" showGridLines="0" showRowCol="0">
      <selection activeCell="D5" sqref="D5"/>
    </customSheetView>
    <customSheetView guid="{5BEA7E47-9D9F-4ED1-B143-C5704EA3C6AB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1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2" customWidth="1"/>
    <col min="4" max="16384" width="8.85546875" style="102"/>
  </cols>
  <sheetData>
    <row r="2" spans="3:9" ht="18" x14ac:dyDescent="0.25">
      <c r="C2" s="110" t="str">
        <f>Location &amp; " Roadblock - Totals to the end of last month"</f>
        <v>OODLA WIRRA Roadblock - Totals to the end of last month</v>
      </c>
      <c r="D2" s="111"/>
      <c r="E2" s="111"/>
      <c r="F2" s="110"/>
    </row>
    <row r="3" spans="3:9" ht="15.75" thickBot="1" x14ac:dyDescent="0.25">
      <c r="E3" s="103"/>
    </row>
    <row r="4" spans="3:9" ht="15.75" thickBot="1" x14ac:dyDescent="0.25">
      <c r="C4" s="104"/>
      <c r="D4" s="105"/>
      <c r="E4" s="270"/>
      <c r="F4" s="105"/>
      <c r="G4" s="268" t="s">
        <v>97</v>
      </c>
      <c r="H4" s="109"/>
    </row>
    <row r="5" spans="3:9" ht="15.75" thickBot="1" x14ac:dyDescent="0.25">
      <c r="C5" s="104"/>
      <c r="D5" s="105"/>
      <c r="E5" s="105"/>
      <c r="F5" s="105"/>
      <c r="G5" s="106" t="s">
        <v>99</v>
      </c>
      <c r="H5" s="113"/>
    </row>
    <row r="6" spans="3:9" ht="15.75" thickBot="1" x14ac:dyDescent="0.25">
      <c r="C6" s="104"/>
      <c r="D6" s="105"/>
      <c r="E6" s="105"/>
      <c r="F6" s="105"/>
      <c r="G6" s="106" t="s">
        <v>98</v>
      </c>
      <c r="H6" s="113"/>
    </row>
    <row r="7" spans="3:9" ht="15.75" thickBot="1" x14ac:dyDescent="0.25">
      <c r="C7" s="104"/>
      <c r="D7" s="105"/>
      <c r="E7" s="105"/>
      <c r="F7" s="105"/>
      <c r="G7" s="106" t="s">
        <v>32</v>
      </c>
      <c r="H7" s="113"/>
    </row>
    <row r="8" spans="3:9" ht="15.75" thickBot="1" x14ac:dyDescent="0.25">
      <c r="G8" s="107"/>
      <c r="H8" s="108"/>
    </row>
    <row r="9" spans="3:9" ht="15.75" thickBot="1" x14ac:dyDescent="0.25">
      <c r="C9" s="104"/>
      <c r="D9" s="105"/>
      <c r="E9" s="105"/>
      <c r="F9" s="105"/>
      <c r="G9" s="106" t="s">
        <v>41</v>
      </c>
      <c r="H9" s="109"/>
    </row>
    <row r="10" spans="3:9" ht="15.75" thickBot="1" x14ac:dyDescent="0.25">
      <c r="C10" s="104"/>
      <c r="D10" s="105"/>
      <c r="E10" s="105"/>
      <c r="F10" s="105"/>
      <c r="G10" s="106" t="s">
        <v>40</v>
      </c>
      <c r="H10" s="109"/>
    </row>
    <row r="11" spans="3:9" ht="15.75" thickBot="1" x14ac:dyDescent="0.25">
      <c r="C11" s="104"/>
      <c r="D11" s="105"/>
      <c r="E11" s="105"/>
      <c r="F11" s="105"/>
      <c r="G11" s="106" t="s">
        <v>33</v>
      </c>
      <c r="H11" s="112">
        <f>SUM(H9:H10)</f>
        <v>0</v>
      </c>
    </row>
    <row r="12" spans="3:9" ht="15.75" thickBot="1" x14ac:dyDescent="0.25">
      <c r="I12" s="107"/>
    </row>
    <row r="13" spans="3:9" ht="15.75" thickBot="1" x14ac:dyDescent="0.25">
      <c r="C13" s="104"/>
      <c r="D13" s="105"/>
      <c r="E13" s="105"/>
      <c r="F13" s="105"/>
      <c r="G13" s="106" t="s">
        <v>34</v>
      </c>
      <c r="H13" s="271"/>
    </row>
    <row r="14" spans="3:9" ht="15.75" thickBot="1" x14ac:dyDescent="0.25">
      <c r="C14" s="104"/>
      <c r="D14" s="105"/>
      <c r="E14" s="105"/>
      <c r="F14" s="105"/>
      <c r="G14" s="106" t="s">
        <v>35</v>
      </c>
      <c r="H14" s="271"/>
    </row>
    <row r="15" spans="3:9" ht="15.75" thickBot="1" x14ac:dyDescent="0.25">
      <c r="C15" s="104"/>
      <c r="D15" s="105"/>
      <c r="E15" s="105"/>
      <c r="F15" s="105"/>
      <c r="G15" s="106" t="s">
        <v>36</v>
      </c>
      <c r="H15" s="271"/>
    </row>
    <row r="16" spans="3:9" ht="15.75" thickBot="1" x14ac:dyDescent="0.25">
      <c r="C16" s="104"/>
      <c r="D16" s="105"/>
      <c r="E16" s="105"/>
      <c r="F16" s="105"/>
      <c r="G16" s="106" t="s">
        <v>37</v>
      </c>
      <c r="H16" s="271"/>
    </row>
    <row r="17" spans="3:8" ht="15.75" thickBot="1" x14ac:dyDescent="0.25">
      <c r="C17" s="104"/>
      <c r="D17" s="105"/>
      <c r="E17" s="105"/>
      <c r="F17" s="105"/>
      <c r="G17" s="106" t="s">
        <v>45</v>
      </c>
      <c r="H17" s="112">
        <f>SUM(H13:H16)</f>
        <v>0</v>
      </c>
    </row>
    <row r="18" spans="3:8" ht="15.75" thickBot="1" x14ac:dyDescent="0.25">
      <c r="C18" s="255"/>
      <c r="D18" s="255"/>
      <c r="E18" s="255"/>
      <c r="F18" s="255"/>
      <c r="G18" s="256"/>
      <c r="H18" s="257"/>
    </row>
    <row r="19" spans="3:8" ht="15.75" thickBot="1" x14ac:dyDescent="0.25">
      <c r="C19" s="104"/>
      <c r="D19" s="105"/>
      <c r="E19" s="105"/>
      <c r="F19" s="105"/>
      <c r="G19" s="248" t="s">
        <v>91</v>
      </c>
      <c r="H19" s="261"/>
    </row>
    <row r="20" spans="3:8" ht="13.5" thickBot="1" x14ac:dyDescent="0.25"/>
    <row r="21" spans="3:8" ht="15.75" thickBot="1" x14ac:dyDescent="0.25">
      <c r="C21" s="339" t="s">
        <v>87</v>
      </c>
      <c r="D21" s="340"/>
      <c r="E21" s="340"/>
      <c r="F21" s="340"/>
      <c r="G21" s="341"/>
      <c r="H21" s="249"/>
    </row>
  </sheetData>
  <sheetProtection sheet="1" objects="1" scenarios="1" selectLockedCells="1"/>
  <customSheetViews>
    <customSheetView guid="{14AE98E8-156C-417E-BA7E-1BAACB87F014}" scale="160" showGridLines="0" showRowCol="0">
      <selection activeCell="E40" sqref="E40"/>
    </customSheetView>
    <customSheetView guid="{9D06DB57-12DF-4033-9E9B-75F04FBF1F60}" scale="160" showGridLines="0" showRowCol="0">
      <selection activeCell="E40" sqref="E40"/>
    </customSheetView>
    <customSheetView guid="{5BEA7E47-9D9F-4ED1-B143-C5704EA3C6AB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1:G21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6"/>
    <col min="2" max="2" width="9.140625" style="236" customWidth="1"/>
    <col min="3" max="6" width="14.7109375" style="236" customWidth="1"/>
    <col min="7" max="16384" width="9.140625" style="236"/>
  </cols>
  <sheetData>
    <row r="1" spans="2:6" s="227" customFormat="1" x14ac:dyDescent="0.25"/>
    <row r="2" spans="2:6" s="227" customFormat="1" ht="23.25" x14ac:dyDescent="0.35">
      <c r="C2" s="250" t="s">
        <v>88</v>
      </c>
      <c r="D2" s="250"/>
    </row>
    <row r="3" spans="2:6" s="227" customFormat="1" ht="15.75" thickBot="1" x14ac:dyDescent="0.3"/>
    <row r="4" spans="2:6" s="227" customFormat="1" ht="15.75" thickTop="1" x14ac:dyDescent="0.25">
      <c r="B4" s="228" t="s">
        <v>81</v>
      </c>
      <c r="C4" s="251">
        <f>PBal -F5+F4</f>
        <v>0</v>
      </c>
      <c r="E4" s="228" t="s">
        <v>82</v>
      </c>
      <c r="F4" s="229">
        <f>SUM(E10:E34)</f>
        <v>0</v>
      </c>
    </row>
    <row r="5" spans="2:6" s="227" customFormat="1" ht="15.75" thickBot="1" x14ac:dyDescent="0.3">
      <c r="B5" s="230" t="s">
        <v>83</v>
      </c>
      <c r="C5" s="231">
        <f>PreviousFoodlandBalance</f>
        <v>0</v>
      </c>
      <c r="E5" s="230" t="s">
        <v>84</v>
      </c>
      <c r="F5" s="231">
        <f>SUM(D10:D34)</f>
        <v>0</v>
      </c>
    </row>
    <row r="6" spans="2:6" s="227" customFormat="1" ht="8.25" customHeight="1" thickTop="1" x14ac:dyDescent="0.25">
      <c r="B6" s="232"/>
      <c r="C6" s="273"/>
      <c r="E6" s="232"/>
      <c r="F6" s="233"/>
    </row>
    <row r="7" spans="2:6" s="234" customFormat="1" ht="8.25" customHeight="1" thickBot="1" x14ac:dyDescent="0.3">
      <c r="C7" s="274"/>
      <c r="F7" s="235"/>
    </row>
    <row r="8" spans="2:6" ht="16.5" thickTop="1" thickBot="1" x14ac:dyDescent="0.3"/>
    <row r="9" spans="2:6" ht="16.5" thickTop="1" thickBot="1" x14ac:dyDescent="0.3">
      <c r="C9" s="237" t="s">
        <v>85</v>
      </c>
      <c r="D9" s="272" t="s">
        <v>100</v>
      </c>
      <c r="E9" s="272" t="s">
        <v>101</v>
      </c>
      <c r="F9" s="238" t="s">
        <v>86</v>
      </c>
    </row>
    <row r="10" spans="2:6" ht="15.75" thickTop="1" x14ac:dyDescent="0.25">
      <c r="C10" s="239"/>
      <c r="D10" s="240"/>
      <c r="E10" s="240"/>
      <c r="F10" s="229" t="str">
        <f>IF(OR(D10&lt;&gt;0,E10&lt;&gt;0),PBal-D10+E10,"")</f>
        <v/>
      </c>
    </row>
    <row r="11" spans="2:6" x14ac:dyDescent="0.25">
      <c r="C11" s="241"/>
      <c r="D11" s="242"/>
      <c r="E11" s="242"/>
      <c r="F11" s="243" t="str">
        <f>IF(OR(D11&lt;&gt;0,E11&lt;&gt;0),F10-D11+E11,"")</f>
        <v/>
      </c>
    </row>
    <row r="12" spans="2:6" s="244" customFormat="1" x14ac:dyDescent="0.25">
      <c r="C12" s="245"/>
      <c r="D12" s="242"/>
      <c r="E12" s="242"/>
      <c r="F12" s="243" t="str">
        <f t="shared" ref="F12:F34" si="0">IF(OR(D12&lt;&gt;0,E12&lt;&gt;0),F11-D12+E12,"")</f>
        <v/>
      </c>
    </row>
    <row r="13" spans="2:6" s="244" customFormat="1" x14ac:dyDescent="0.25">
      <c r="C13" s="245"/>
      <c r="D13" s="242"/>
      <c r="E13" s="242"/>
      <c r="F13" s="243" t="str">
        <f t="shared" si="0"/>
        <v/>
      </c>
    </row>
    <row r="14" spans="2:6" s="244" customFormat="1" x14ac:dyDescent="0.25">
      <c r="C14" s="245"/>
      <c r="D14" s="242"/>
      <c r="E14" s="242"/>
      <c r="F14" s="243" t="str">
        <f t="shared" si="0"/>
        <v/>
      </c>
    </row>
    <row r="15" spans="2:6" x14ac:dyDescent="0.25">
      <c r="C15" s="241"/>
      <c r="D15" s="242"/>
      <c r="E15" s="242"/>
      <c r="F15" s="243" t="str">
        <f t="shared" si="0"/>
        <v/>
      </c>
    </row>
    <row r="16" spans="2:6" x14ac:dyDescent="0.25">
      <c r="C16" s="241"/>
      <c r="D16" s="242"/>
      <c r="E16" s="242"/>
      <c r="F16" s="243" t="str">
        <f t="shared" si="0"/>
        <v/>
      </c>
    </row>
    <row r="17" spans="3:6" s="244" customFormat="1" x14ac:dyDescent="0.25">
      <c r="C17" s="245"/>
      <c r="D17" s="242"/>
      <c r="E17" s="242"/>
      <c r="F17" s="243" t="str">
        <f t="shared" si="0"/>
        <v/>
      </c>
    </row>
    <row r="18" spans="3:6" s="244" customFormat="1" x14ac:dyDescent="0.25">
      <c r="C18" s="245"/>
      <c r="D18" s="242"/>
      <c r="E18" s="242"/>
      <c r="F18" s="243" t="str">
        <f t="shared" si="0"/>
        <v/>
      </c>
    </row>
    <row r="19" spans="3:6" s="244" customFormat="1" x14ac:dyDescent="0.25">
      <c r="C19" s="245"/>
      <c r="D19" s="242"/>
      <c r="E19" s="242"/>
      <c r="F19" s="243" t="str">
        <f t="shared" si="0"/>
        <v/>
      </c>
    </row>
    <row r="20" spans="3:6" x14ac:dyDescent="0.25">
      <c r="C20" s="241"/>
      <c r="D20" s="242"/>
      <c r="E20" s="242"/>
      <c r="F20" s="243" t="str">
        <f t="shared" si="0"/>
        <v/>
      </c>
    </row>
    <row r="21" spans="3:6" x14ac:dyDescent="0.25">
      <c r="C21" s="241"/>
      <c r="D21" s="242"/>
      <c r="E21" s="242"/>
      <c r="F21" s="243" t="str">
        <f t="shared" si="0"/>
        <v/>
      </c>
    </row>
    <row r="22" spans="3:6" x14ac:dyDescent="0.25">
      <c r="C22" s="241"/>
      <c r="D22" s="242"/>
      <c r="E22" s="242"/>
      <c r="F22" s="243" t="str">
        <f t="shared" si="0"/>
        <v/>
      </c>
    </row>
    <row r="23" spans="3:6" x14ac:dyDescent="0.25">
      <c r="C23" s="241"/>
      <c r="D23" s="242"/>
      <c r="E23" s="242"/>
      <c r="F23" s="243" t="str">
        <f t="shared" si="0"/>
        <v/>
      </c>
    </row>
    <row r="24" spans="3:6" x14ac:dyDescent="0.25">
      <c r="C24" s="241"/>
      <c r="D24" s="242"/>
      <c r="E24" s="242"/>
      <c r="F24" s="243" t="str">
        <f t="shared" si="0"/>
        <v/>
      </c>
    </row>
    <row r="25" spans="3:6" x14ac:dyDescent="0.25">
      <c r="C25" s="241"/>
      <c r="D25" s="242"/>
      <c r="E25" s="242"/>
      <c r="F25" s="243" t="str">
        <f t="shared" si="0"/>
        <v/>
      </c>
    </row>
    <row r="26" spans="3:6" x14ac:dyDescent="0.25">
      <c r="C26" s="241"/>
      <c r="D26" s="242"/>
      <c r="E26" s="242"/>
      <c r="F26" s="243" t="str">
        <f t="shared" si="0"/>
        <v/>
      </c>
    </row>
    <row r="27" spans="3:6" x14ac:dyDescent="0.25">
      <c r="C27" s="241"/>
      <c r="D27" s="242"/>
      <c r="E27" s="242"/>
      <c r="F27" s="243" t="str">
        <f t="shared" si="0"/>
        <v/>
      </c>
    </row>
    <row r="28" spans="3:6" x14ac:dyDescent="0.25">
      <c r="C28" s="241"/>
      <c r="D28" s="242"/>
      <c r="E28" s="242"/>
      <c r="F28" s="243" t="str">
        <f t="shared" si="0"/>
        <v/>
      </c>
    </row>
    <row r="29" spans="3:6" x14ac:dyDescent="0.25">
      <c r="C29" s="241"/>
      <c r="D29" s="242"/>
      <c r="E29" s="242"/>
      <c r="F29" s="243" t="str">
        <f t="shared" si="0"/>
        <v/>
      </c>
    </row>
    <row r="30" spans="3:6" x14ac:dyDescent="0.25">
      <c r="C30" s="241"/>
      <c r="D30" s="242"/>
      <c r="E30" s="242"/>
      <c r="F30" s="243" t="str">
        <f t="shared" si="0"/>
        <v/>
      </c>
    </row>
    <row r="31" spans="3:6" x14ac:dyDescent="0.25">
      <c r="C31" s="241"/>
      <c r="D31" s="242"/>
      <c r="E31" s="242"/>
      <c r="F31" s="243" t="str">
        <f t="shared" si="0"/>
        <v/>
      </c>
    </row>
    <row r="32" spans="3:6" x14ac:dyDescent="0.25">
      <c r="C32" s="241"/>
      <c r="D32" s="242"/>
      <c r="E32" s="242"/>
      <c r="F32" s="243" t="str">
        <f t="shared" si="0"/>
        <v/>
      </c>
    </row>
    <row r="33" spans="3:6" x14ac:dyDescent="0.25">
      <c r="C33" s="241"/>
      <c r="D33" s="242"/>
      <c r="E33" s="242"/>
      <c r="F33" s="243" t="str">
        <f t="shared" si="0"/>
        <v/>
      </c>
    </row>
    <row r="34" spans="3:6" ht="15.75" thickBot="1" x14ac:dyDescent="0.3">
      <c r="C34" s="246"/>
      <c r="D34" s="247"/>
      <c r="E34" s="247"/>
      <c r="F34" s="231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14AE98E8-156C-417E-BA7E-1BAACB87F014}" scale="115" showGridLines="0" showRowCol="0">
      <selection activeCell="C10" sqref="C10"/>
    </customSheetView>
    <customSheetView guid="{9D06DB57-12DF-4033-9E9B-75F04FBF1F60}" scale="115" showGridLines="0" showRowCol="0">
      <selection activeCell="C10" sqref="C10"/>
    </customSheetView>
    <customSheetView guid="{5BEA7E47-9D9F-4ED1-B143-C5704EA3C6AB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9" t="str">
        <f>Location &amp;" Roadblock, Stock Totals - "&amp; Month &amp; ", " &amp; Year</f>
        <v>OODLA WIRRA Roadblock, Stock Totals - April, 2018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80" t="s">
        <v>25</v>
      </c>
      <c r="D5" s="76"/>
    </row>
    <row r="6" spans="1:6" x14ac:dyDescent="0.2">
      <c r="C6" s="81" t="s">
        <v>26</v>
      </c>
      <c r="D6" s="77"/>
    </row>
    <row r="7" spans="1:6" x14ac:dyDescent="0.2">
      <c r="C7" s="81" t="s">
        <v>27</v>
      </c>
      <c r="D7" s="77"/>
    </row>
    <row r="8" spans="1:6" ht="13.5" thickBot="1" x14ac:dyDescent="0.25">
      <c r="C8" s="82" t="s">
        <v>28</v>
      </c>
      <c r="D8" s="78"/>
    </row>
    <row r="9" spans="1:6" ht="17.25" thickTop="1" thickBot="1" x14ac:dyDescent="0.3">
      <c r="C9" s="83" t="s">
        <v>29</v>
      </c>
      <c r="D9" s="84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14AE98E8-156C-417E-BA7E-1BAACB87F014}" showGridLines="0" showRowCol="0">
      <selection activeCell="D6" sqref="D6"/>
    </customSheetView>
    <customSheetView guid="{9D06DB57-12DF-4033-9E9B-75F04FBF1F60}" showGridLines="0" showRowCol="0">
      <selection activeCell="D6" sqref="D6"/>
    </customSheetView>
    <customSheetView guid="{5BEA7E47-9D9F-4ED1-B143-C5704EA3C6AB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6"/>
  <sheetViews>
    <sheetView showGridLines="0" showRowColHeaders="0" topLeftCell="A1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">
      <c r="E6" s="89"/>
      <c r="F6" s="89"/>
      <c r="H6" s="90"/>
      <c r="I6" s="89"/>
      <c r="J6" s="89"/>
    </row>
    <row r="7" spans="3:13" ht="15.75" x14ac:dyDescent="0.2">
      <c r="E7" s="89"/>
      <c r="F7" s="89"/>
      <c r="H7" s="90" t="str">
        <f xml:space="preserve"> Month &amp; ", " &amp; Year &amp; " - Monthly Report"</f>
        <v>April, 2018 - Monthly Report</v>
      </c>
      <c r="I7" s="89"/>
      <c r="J7" s="89"/>
    </row>
    <row r="8" spans="3:13" ht="7.5" customHeight="1" thickBot="1" x14ac:dyDescent="0.3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">
      <c r="E9" s="38"/>
    </row>
    <row r="10" spans="3:13" ht="15.75" x14ac:dyDescent="0.25">
      <c r="E10" s="92" t="s">
        <v>43</v>
      </c>
    </row>
    <row r="11" spans="3:13" ht="6" customHeight="1" thickBot="1" x14ac:dyDescent="0.25">
      <c r="E11" s="38"/>
    </row>
    <row r="12" spans="3:13" ht="15.75" thickBot="1" x14ac:dyDescent="0.25">
      <c r="G12" s="85" t="s">
        <v>96</v>
      </c>
      <c r="H12" s="93">
        <f>TotalCars + TotalCommVehicles</f>
        <v>0</v>
      </c>
      <c r="K12" s="85" t="s">
        <v>30</v>
      </c>
      <c r="L12" s="93">
        <f>TotalVehicles + PrevTotalVehicles</f>
        <v>0</v>
      </c>
    </row>
    <row r="13" spans="3:13" ht="15.75" thickBot="1" x14ac:dyDescent="0.25">
      <c r="G13" s="85"/>
      <c r="H13" s="99"/>
      <c r="K13" s="85"/>
      <c r="L13" s="99"/>
    </row>
    <row r="14" spans="3:13" ht="15.75" thickBot="1" x14ac:dyDescent="0.25">
      <c r="G14" s="85" t="s">
        <v>95</v>
      </c>
      <c r="H14" s="269">
        <f>TotalCars</f>
        <v>0</v>
      </c>
      <c r="K14" s="85" t="s">
        <v>30</v>
      </c>
      <c r="L14" s="269">
        <f>TotalCars+PrevTotalCars</f>
        <v>0</v>
      </c>
    </row>
    <row r="15" spans="3:13" ht="15.75" thickBot="1" x14ac:dyDescent="0.25">
      <c r="G15" s="85"/>
      <c r="K15" s="86"/>
      <c r="L15" s="86"/>
    </row>
    <row r="16" spans="3:13" ht="15.75" thickBot="1" x14ac:dyDescent="0.25">
      <c r="G16" s="85" t="s">
        <v>31</v>
      </c>
      <c r="H16" s="93">
        <f xml:space="preserve"> TotalCommVehicles</f>
        <v>0</v>
      </c>
      <c r="K16" s="85" t="s">
        <v>30</v>
      </c>
      <c r="L16" s="93">
        <f>TotalCommVehicles+PrevTotalCommVehicles</f>
        <v>0</v>
      </c>
    </row>
    <row r="17" spans="3:13" ht="15.75" thickBot="1" x14ac:dyDescent="0.25">
      <c r="G17" s="85"/>
      <c r="K17" s="86"/>
      <c r="L17" s="86"/>
    </row>
    <row r="18" spans="3:13" ht="15.75" thickBot="1" x14ac:dyDescent="0.25">
      <c r="G18" s="85" t="s">
        <v>32</v>
      </c>
      <c r="H18" s="93">
        <f xml:space="preserve"> TotalVehiclesWF</f>
        <v>0</v>
      </c>
      <c r="K18" s="85" t="s">
        <v>30</v>
      </c>
      <c r="L18" s="93">
        <f>TotalVehiclesWF+PrevTotalVehiclesWF</f>
        <v>0</v>
      </c>
    </row>
    <row r="19" spans="3:13" ht="15.75" thickBot="1" x14ac:dyDescent="0.25">
      <c r="G19" s="85"/>
      <c r="K19" s="86"/>
      <c r="L19" s="86"/>
    </row>
    <row r="20" spans="3:13" ht="15.75" thickBot="1" x14ac:dyDescent="0.25">
      <c r="G20" s="85" t="s">
        <v>33</v>
      </c>
      <c r="H20" s="93">
        <f>TotalFruitConfiscated</f>
        <v>0</v>
      </c>
      <c r="K20" s="85" t="s">
        <v>30</v>
      </c>
      <c r="L20" s="114">
        <f>TotalFruitConfiscated+PrevTotalFruitConfiscated</f>
        <v>0</v>
      </c>
    </row>
    <row r="21" spans="3:13" ht="6.75" customHeight="1" x14ac:dyDescent="0.25">
      <c r="G21" s="85"/>
      <c r="H21" s="99"/>
      <c r="K21" s="85"/>
      <c r="L21" s="100"/>
    </row>
    <row r="22" spans="3:13" ht="4.5" customHeight="1" x14ac:dyDescent="0.2">
      <c r="C22" s="94"/>
      <c r="D22" s="94"/>
      <c r="E22" s="94"/>
      <c r="F22" s="94"/>
      <c r="G22" s="95"/>
      <c r="H22" s="94"/>
      <c r="I22" s="94"/>
      <c r="J22" s="94"/>
      <c r="K22" s="95"/>
      <c r="L22" s="95"/>
      <c r="M22" s="94"/>
    </row>
    <row r="23" spans="3:13" ht="6.75" customHeight="1" x14ac:dyDescent="0.2">
      <c r="G23" s="85"/>
      <c r="K23" s="85"/>
      <c r="L23" s="85"/>
    </row>
    <row r="24" spans="3:13" ht="15.75" x14ac:dyDescent="0.25">
      <c r="E24" s="92" t="s">
        <v>39</v>
      </c>
      <c r="I24" s="38"/>
    </row>
    <row r="25" spans="3:13" ht="9.75" customHeight="1" thickBot="1" x14ac:dyDescent="0.25">
      <c r="E25" s="38"/>
      <c r="K25" s="99"/>
    </row>
    <row r="26" spans="3:13" ht="15.75" thickBot="1" x14ac:dyDescent="0.25">
      <c r="E26" s="85" t="s">
        <v>41</v>
      </c>
      <c r="F26" s="93">
        <f>FFlyHostFruit</f>
        <v>0</v>
      </c>
      <c r="K26" s="85" t="s">
        <v>30</v>
      </c>
      <c r="L26" s="93">
        <f>PrevTotalHostFruit + FFlyHostFruit</f>
        <v>0</v>
      </c>
    </row>
    <row r="27" spans="3:13" ht="10.5" customHeight="1" thickBot="1" x14ac:dyDescent="0.25">
      <c r="E27" s="85"/>
    </row>
    <row r="28" spans="3:13" ht="15.75" thickBot="1" x14ac:dyDescent="0.25">
      <c r="E28" s="85" t="s">
        <v>40</v>
      </c>
      <c r="F28" s="93">
        <f>NonFFlyHostFruit</f>
        <v>0</v>
      </c>
      <c r="K28" s="85" t="s">
        <v>30</v>
      </c>
      <c r="L28" s="93">
        <f>NonFFlyHostFruit + PrevTotalNonHostFruit</f>
        <v>0</v>
      </c>
    </row>
    <row r="29" spans="3:13" ht="4.5" customHeight="1" x14ac:dyDescent="0.2">
      <c r="C29" s="94"/>
      <c r="D29" s="94"/>
      <c r="E29" s="94"/>
      <c r="F29" s="94"/>
      <c r="G29" s="95"/>
      <c r="H29" s="94"/>
      <c r="I29" s="94"/>
      <c r="J29" s="94"/>
      <c r="K29" s="94"/>
      <c r="L29" s="94"/>
      <c r="M29" s="94"/>
    </row>
    <row r="30" spans="3:13" ht="7.5" customHeight="1" x14ac:dyDescent="0.2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</row>
    <row r="31" spans="3:13" ht="15.75" x14ac:dyDescent="0.25">
      <c r="E31" s="101" t="s">
        <v>42</v>
      </c>
    </row>
    <row r="32" spans="3:13" ht="15.75" thickBot="1" x14ac:dyDescent="0.25">
      <c r="E32" s="38"/>
    </row>
    <row r="33" spans="3:13" ht="15.75" thickBot="1" x14ac:dyDescent="0.25">
      <c r="E33" s="85" t="s">
        <v>34</v>
      </c>
      <c r="F33" s="93">
        <f>Sheep</f>
        <v>0</v>
      </c>
      <c r="K33" s="85" t="s">
        <v>30</v>
      </c>
      <c r="L33" s="253">
        <f>PrevSheep + Sheep</f>
        <v>0</v>
      </c>
    </row>
    <row r="34" spans="3:13" ht="15.75" thickBot="1" x14ac:dyDescent="0.25">
      <c r="E34" s="85"/>
      <c r="K34" s="86"/>
    </row>
    <row r="35" spans="3:13" ht="15.75" thickBot="1" x14ac:dyDescent="0.25">
      <c r="E35" s="85" t="s">
        <v>35</v>
      </c>
      <c r="F35" s="93">
        <f>Cattle</f>
        <v>0</v>
      </c>
      <c r="K35" s="85" t="s">
        <v>30</v>
      </c>
      <c r="L35" s="253">
        <f>PrevCattle + Cattle</f>
        <v>0</v>
      </c>
    </row>
    <row r="36" spans="3:13" ht="15.75" thickBot="1" x14ac:dyDescent="0.25">
      <c r="E36" s="85"/>
      <c r="K36" s="86"/>
    </row>
    <row r="37" spans="3:13" ht="15.75" thickBot="1" x14ac:dyDescent="0.25">
      <c r="E37" s="85" t="s">
        <v>36</v>
      </c>
      <c r="F37" s="93">
        <f xml:space="preserve"> Pigs</f>
        <v>0</v>
      </c>
      <c r="K37" s="85" t="s">
        <v>30</v>
      </c>
      <c r="L37" s="253">
        <f>PrevPigs + Pigs</f>
        <v>0</v>
      </c>
    </row>
    <row r="38" spans="3:13" ht="15.75" thickBot="1" x14ac:dyDescent="0.25">
      <c r="E38" s="85"/>
      <c r="K38" s="86"/>
    </row>
    <row r="39" spans="3:13" ht="15.75" thickBot="1" x14ac:dyDescent="0.25">
      <c r="E39" s="85" t="s">
        <v>37</v>
      </c>
      <c r="F39" s="93">
        <f>Other</f>
        <v>0</v>
      </c>
      <c r="K39" s="85" t="s">
        <v>30</v>
      </c>
      <c r="L39" s="253">
        <f>PrevOther + Other</f>
        <v>0</v>
      </c>
    </row>
    <row r="40" spans="3:13" ht="4.5" customHeight="1" x14ac:dyDescent="0.2">
      <c r="E40" s="38"/>
    </row>
    <row r="41" spans="3:13" ht="5.25" customHeight="1" x14ac:dyDescent="0.2">
      <c r="C41" s="94"/>
      <c r="D41" s="94"/>
      <c r="E41" s="96"/>
      <c r="F41" s="94"/>
      <c r="G41" s="94"/>
      <c r="H41" s="94"/>
      <c r="I41" s="94"/>
      <c r="J41" s="94"/>
      <c r="K41" s="94"/>
      <c r="L41" s="94"/>
      <c r="M41" s="94"/>
    </row>
    <row r="42" spans="3:13" ht="6.75" customHeight="1" x14ac:dyDescent="0.2">
      <c r="C42" s="97"/>
      <c r="D42" s="97"/>
      <c r="E42" s="119"/>
      <c r="F42" s="97"/>
      <c r="G42" s="97"/>
      <c r="H42" s="97"/>
      <c r="I42" s="97"/>
      <c r="J42" s="97"/>
      <c r="K42" s="97"/>
      <c r="L42" s="97"/>
      <c r="M42" s="97"/>
    </row>
    <row r="43" spans="3:13" ht="15.75" x14ac:dyDescent="0.25">
      <c r="C43" s="97"/>
      <c r="D43" s="97"/>
      <c r="E43" s="254" t="s">
        <v>89</v>
      </c>
      <c r="F43" s="97"/>
      <c r="G43" s="97"/>
      <c r="H43" s="97"/>
      <c r="I43" s="97"/>
      <c r="J43" s="97"/>
      <c r="K43" s="97"/>
      <c r="L43" s="97"/>
      <c r="M43" s="97"/>
    </row>
    <row r="44" spans="3:13" ht="9.75" customHeight="1" thickBot="1" x14ac:dyDescent="0.25">
      <c r="C44" s="97"/>
      <c r="D44" s="97"/>
      <c r="E44" s="119"/>
      <c r="F44" s="97"/>
      <c r="G44" s="97"/>
      <c r="H44" s="97"/>
      <c r="I44" s="97"/>
      <c r="J44" s="97"/>
      <c r="K44" s="97"/>
      <c r="L44" s="97"/>
      <c r="M44" s="97"/>
    </row>
    <row r="45" spans="3:13" ht="15.75" thickBot="1" x14ac:dyDescent="0.25">
      <c r="C45" s="97"/>
      <c r="D45" s="97"/>
      <c r="E45" s="252" t="s">
        <v>90</v>
      </c>
      <c r="F45" s="260"/>
      <c r="G45" s="97"/>
      <c r="H45" s="97"/>
      <c r="I45" s="97"/>
      <c r="J45" s="97"/>
      <c r="K45" s="85" t="s">
        <v>30</v>
      </c>
      <c r="L45" s="253">
        <f>PrevFruitFly + FruitFly</f>
        <v>0</v>
      </c>
      <c r="M45" s="97"/>
    </row>
    <row r="46" spans="3:13" ht="7.5" customHeight="1" x14ac:dyDescent="0.2">
      <c r="C46" s="97"/>
      <c r="D46" s="97"/>
      <c r="E46" s="252"/>
      <c r="F46" s="97"/>
      <c r="G46" s="97"/>
      <c r="H46" s="97"/>
      <c r="I46" s="97"/>
      <c r="J46" s="97"/>
      <c r="K46" s="85"/>
      <c r="L46" s="97"/>
      <c r="M46" s="97"/>
    </row>
    <row r="47" spans="3:13" ht="9" customHeight="1" x14ac:dyDescent="0.2">
      <c r="C47" s="304"/>
      <c r="D47" s="304"/>
      <c r="E47" s="305"/>
      <c r="F47" s="304"/>
      <c r="G47" s="304"/>
      <c r="H47" s="304"/>
      <c r="I47" s="304"/>
      <c r="J47" s="304"/>
      <c r="K47" s="305"/>
      <c r="L47" s="304"/>
      <c r="M47" s="304"/>
    </row>
    <row r="48" spans="3:13" ht="14.25" customHeight="1" x14ac:dyDescent="0.25">
      <c r="C48" s="97"/>
      <c r="D48" s="97"/>
      <c r="E48" s="254" t="s">
        <v>107</v>
      </c>
      <c r="F48" s="97"/>
      <c r="G48" s="97"/>
      <c r="H48" s="97"/>
      <c r="I48" s="97"/>
      <c r="J48" s="97"/>
      <c r="K48" s="252"/>
      <c r="L48" s="97"/>
      <c r="M48" s="97"/>
    </row>
    <row r="49" spans="3:13" ht="9" customHeight="1" thickBot="1" x14ac:dyDescent="0.25">
      <c r="C49" s="97"/>
      <c r="D49" s="97"/>
      <c r="E49" s="252"/>
      <c r="F49" s="97"/>
      <c r="G49" s="97"/>
      <c r="H49" s="97"/>
      <c r="I49" s="97"/>
      <c r="J49" s="97"/>
      <c r="K49" s="252"/>
      <c r="L49" s="97"/>
      <c r="M49" s="97"/>
    </row>
    <row r="50" spans="3:13" ht="15" customHeight="1" thickBot="1" x14ac:dyDescent="0.25">
      <c r="D50" s="97"/>
      <c r="E50" s="252" t="s">
        <v>108</v>
      </c>
      <c r="F50" s="253">
        <f>MAX(ShiftStatsTotal)</f>
        <v>0</v>
      </c>
      <c r="G50" s="97"/>
      <c r="H50" s="306" t="s">
        <v>109</v>
      </c>
      <c r="I50" s="253">
        <f>MAX(ShiftStats)</f>
        <v>0</v>
      </c>
      <c r="K50" s="252" t="s">
        <v>110</v>
      </c>
      <c r="L50" s="253">
        <f>COUNTIF(ShiftStats,"&gt;199")</f>
        <v>0</v>
      </c>
      <c r="M50" s="97"/>
    </row>
    <row r="51" spans="3:13" ht="9" customHeight="1" x14ac:dyDescent="0.2">
      <c r="C51" s="97"/>
      <c r="D51" s="97"/>
      <c r="E51" s="252"/>
      <c r="F51" s="97"/>
      <c r="G51" s="97"/>
      <c r="H51" s="97"/>
      <c r="I51" s="97"/>
      <c r="J51" s="97"/>
      <c r="K51" s="252"/>
      <c r="L51" s="97"/>
      <c r="M51" s="97"/>
    </row>
    <row r="52" spans="3:13" ht="3" customHeight="1" x14ac:dyDescent="0.2">
      <c r="C52" s="94"/>
      <c r="D52" s="94"/>
      <c r="E52" s="95"/>
      <c r="F52" s="94"/>
      <c r="G52" s="94"/>
      <c r="H52" s="94"/>
      <c r="I52" s="94"/>
      <c r="J52" s="94"/>
      <c r="K52" s="95"/>
      <c r="L52" s="94"/>
      <c r="M52" s="94"/>
    </row>
    <row r="53" spans="3:13" ht="15" x14ac:dyDescent="0.2">
      <c r="E53" s="38"/>
    </row>
    <row r="54" spans="3:13" ht="15.75" x14ac:dyDescent="0.25">
      <c r="E54" s="101" t="s">
        <v>44</v>
      </c>
    </row>
    <row r="55" spans="3:13" ht="13.5" thickBot="1" x14ac:dyDescent="0.25">
      <c r="D55" t="s">
        <v>38</v>
      </c>
    </row>
    <row r="56" spans="3:13" x14ac:dyDescent="0.2">
      <c r="D56" s="342"/>
      <c r="E56" s="343"/>
      <c r="F56" s="343"/>
      <c r="G56" s="343"/>
      <c r="H56" s="343"/>
      <c r="I56" s="343"/>
      <c r="J56" s="343"/>
      <c r="K56" s="343"/>
      <c r="L56" s="344"/>
    </row>
    <row r="57" spans="3:13" x14ac:dyDescent="0.2">
      <c r="D57" s="345"/>
      <c r="E57" s="346"/>
      <c r="F57" s="346"/>
      <c r="G57" s="346"/>
      <c r="H57" s="346"/>
      <c r="I57" s="346"/>
      <c r="J57" s="346"/>
      <c r="K57" s="346"/>
      <c r="L57" s="347"/>
    </row>
    <row r="58" spans="3:13" x14ac:dyDescent="0.2">
      <c r="D58" s="345"/>
      <c r="E58" s="346"/>
      <c r="F58" s="346"/>
      <c r="G58" s="346"/>
      <c r="H58" s="346"/>
      <c r="I58" s="346"/>
      <c r="J58" s="346"/>
      <c r="K58" s="346"/>
      <c r="L58" s="347"/>
    </row>
    <row r="59" spans="3:13" x14ac:dyDescent="0.2">
      <c r="D59" s="345"/>
      <c r="E59" s="346"/>
      <c r="F59" s="346"/>
      <c r="G59" s="346"/>
      <c r="H59" s="346"/>
      <c r="I59" s="346"/>
      <c r="J59" s="346"/>
      <c r="K59" s="346"/>
      <c r="L59" s="347"/>
    </row>
    <row r="60" spans="3:13" x14ac:dyDescent="0.2">
      <c r="D60" s="345"/>
      <c r="E60" s="346"/>
      <c r="F60" s="346"/>
      <c r="G60" s="346"/>
      <c r="H60" s="346"/>
      <c r="I60" s="346"/>
      <c r="J60" s="346"/>
      <c r="K60" s="346"/>
      <c r="L60" s="347"/>
    </row>
    <row r="61" spans="3:13" x14ac:dyDescent="0.2">
      <c r="D61" s="345"/>
      <c r="E61" s="346"/>
      <c r="F61" s="346"/>
      <c r="G61" s="346"/>
      <c r="H61" s="346"/>
      <c r="I61" s="346"/>
      <c r="J61" s="346"/>
      <c r="K61" s="346"/>
      <c r="L61" s="347"/>
    </row>
    <row r="62" spans="3:13" x14ac:dyDescent="0.2">
      <c r="D62" s="345"/>
      <c r="E62" s="346"/>
      <c r="F62" s="346"/>
      <c r="G62" s="346"/>
      <c r="H62" s="346"/>
      <c r="I62" s="346"/>
      <c r="J62" s="346"/>
      <c r="K62" s="346"/>
      <c r="L62" s="347"/>
    </row>
    <row r="63" spans="3:13" x14ac:dyDescent="0.2">
      <c r="D63" s="345"/>
      <c r="E63" s="346"/>
      <c r="F63" s="346"/>
      <c r="G63" s="346"/>
      <c r="H63" s="346"/>
      <c r="I63" s="346"/>
      <c r="J63" s="346"/>
      <c r="K63" s="346"/>
      <c r="L63" s="347"/>
    </row>
    <row r="64" spans="3:13" x14ac:dyDescent="0.2">
      <c r="D64" s="345"/>
      <c r="E64" s="346"/>
      <c r="F64" s="346"/>
      <c r="G64" s="346"/>
      <c r="H64" s="346"/>
      <c r="I64" s="346"/>
      <c r="J64" s="346"/>
      <c r="K64" s="346"/>
      <c r="L64" s="347"/>
    </row>
    <row r="65" spans="3:13" x14ac:dyDescent="0.2">
      <c r="D65" s="345"/>
      <c r="E65" s="346"/>
      <c r="F65" s="346"/>
      <c r="G65" s="346"/>
      <c r="H65" s="346"/>
      <c r="I65" s="346"/>
      <c r="J65" s="346"/>
      <c r="K65" s="346"/>
      <c r="L65" s="347"/>
    </row>
    <row r="66" spans="3:13" ht="13.5" thickBot="1" x14ac:dyDescent="0.25">
      <c r="D66" s="348"/>
      <c r="E66" s="349"/>
      <c r="F66" s="349"/>
      <c r="G66" s="349"/>
      <c r="H66" s="349"/>
      <c r="I66" s="349"/>
      <c r="J66" s="349"/>
      <c r="K66" s="349"/>
      <c r="L66" s="350"/>
    </row>
    <row r="67" spans="3:13" ht="13.5" x14ac:dyDescent="0.2">
      <c r="C67" s="98"/>
      <c r="D67" s="258"/>
      <c r="E67" s="258"/>
      <c r="F67" s="258"/>
      <c r="G67" s="258"/>
      <c r="H67" s="258"/>
      <c r="I67" s="258"/>
      <c r="J67" s="258"/>
      <c r="K67" s="258"/>
      <c r="L67" s="258"/>
      <c r="M67" s="98"/>
    </row>
    <row r="68" spans="3:13" ht="13.5" x14ac:dyDescent="0.2">
      <c r="C68" s="98"/>
      <c r="D68" s="258"/>
      <c r="E68" s="258"/>
      <c r="F68" s="258"/>
      <c r="G68" s="258"/>
      <c r="H68" s="258"/>
      <c r="I68" s="258"/>
      <c r="J68" s="258"/>
      <c r="K68" s="258"/>
      <c r="L68" s="258"/>
      <c r="M68" s="98"/>
    </row>
    <row r="69" spans="3:13" ht="13.5" x14ac:dyDescent="0.2">
      <c r="C69" s="98"/>
      <c r="D69" s="258"/>
      <c r="E69" s="258"/>
      <c r="F69" s="258"/>
      <c r="G69" s="258"/>
      <c r="H69" s="258"/>
      <c r="I69" s="258"/>
      <c r="J69" s="258"/>
      <c r="K69" s="258"/>
      <c r="L69" s="258"/>
      <c r="M69" s="98"/>
    </row>
    <row r="70" spans="3:13" x14ac:dyDescent="0.2">
      <c r="C70" s="98"/>
      <c r="D70" s="259"/>
      <c r="E70" s="259"/>
      <c r="F70" s="259"/>
      <c r="G70" s="259"/>
      <c r="H70" s="259"/>
      <c r="I70" s="259"/>
      <c r="J70" s="259"/>
      <c r="K70" s="259"/>
      <c r="L70" s="259"/>
      <c r="M70" s="98"/>
    </row>
    <row r="71" spans="3:13" x14ac:dyDescent="0.2"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3:13" x14ac:dyDescent="0.2"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s="36" customFormat="1" x14ac:dyDescent="0.2"/>
    <row r="77" spans="3:13" s="36" customFormat="1" x14ac:dyDescent="0.2"/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</sheetData>
  <sheetProtection sheet="1" objects="1" scenarios="1" selectLockedCells="1"/>
  <customSheetViews>
    <customSheetView guid="{14AE98E8-156C-417E-BA7E-1BAACB87F014}" scale="130" showGridLines="0" showRowCol="0" topLeftCell="A10">
      <selection activeCell="F47" sqref="F47"/>
    </customSheetView>
    <customSheetView guid="{9D06DB57-12DF-4033-9E9B-75F04FBF1F60}" scale="130" showGridLines="0" showRowCol="0" topLeftCell="A10">
      <selection activeCell="F47" sqref="F47"/>
    </customSheetView>
    <customSheetView guid="{5BEA7E47-9D9F-4ED1-B143-C5704EA3C6AB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6:L66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76"/>
  <sheetViews>
    <sheetView showGridLines="0" showRowColHeaders="0" tabSelected="1" zoomScale="170" zoomScaleNormal="130" workbookViewId="0">
      <selection activeCell="E24" sqref="E24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9" customFormat="1" ht="6" customHeight="1" x14ac:dyDescent="0.2"/>
    <row r="2" spans="1:86" s="219" customFormat="1" ht="7.5" customHeight="1" x14ac:dyDescent="0.2"/>
    <row r="3" spans="1:86" s="219" customFormat="1" ht="6" customHeight="1" thickBot="1" x14ac:dyDescent="0.25"/>
    <row r="4" spans="1:86" s="219" customFormat="1" ht="14.25" thickTop="1" thickBot="1" x14ac:dyDescent="0.25">
      <c r="D4" s="226" t="s">
        <v>60</v>
      </c>
      <c r="E4" s="224">
        <v>1</v>
      </c>
      <c r="G4" s="220" t="b">
        <v>1</v>
      </c>
    </row>
    <row r="5" spans="1:86" s="219" customFormat="1" ht="21.6" customHeight="1" thickTop="1" thickBot="1" x14ac:dyDescent="0.25">
      <c r="G5" s="307" t="b">
        <v>1</v>
      </c>
    </row>
    <row r="6" spans="1:86" s="131" customFormat="1" ht="25.5" thickTop="1" thickBot="1" x14ac:dyDescent="0.25">
      <c r="A6" s="219"/>
      <c r="B6" s="219"/>
      <c r="C6" s="219"/>
      <c r="D6" s="132" t="s">
        <v>48</v>
      </c>
      <c r="E6" s="133" t="s">
        <v>1</v>
      </c>
      <c r="F6" s="133" t="s">
        <v>2</v>
      </c>
      <c r="G6" s="133" t="s">
        <v>3</v>
      </c>
      <c r="H6" s="133" t="s">
        <v>4</v>
      </c>
      <c r="I6" s="133" t="s">
        <v>5</v>
      </c>
      <c r="J6" s="133" t="s">
        <v>49</v>
      </c>
      <c r="K6" s="134" t="s">
        <v>7</v>
      </c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219"/>
      <c r="CB6" s="219"/>
      <c r="CC6" s="219"/>
      <c r="CD6" s="219"/>
      <c r="CE6" s="219"/>
      <c r="CF6" s="219"/>
      <c r="CG6" s="219"/>
      <c r="CH6" s="219"/>
    </row>
    <row r="7" spans="1:86" s="131" customFormat="1" ht="15" thickBot="1" x14ac:dyDescent="0.25">
      <c r="A7" s="219"/>
      <c r="B7" s="219"/>
      <c r="C7" s="219"/>
      <c r="D7" s="135" t="s">
        <v>50</v>
      </c>
      <c r="E7" s="145">
        <f t="shared" ref="E7:G12" si="0">E24+E40+E56</f>
        <v>0</v>
      </c>
      <c r="F7" s="145">
        <f t="shared" si="0"/>
        <v>0</v>
      </c>
      <c r="G7" s="145">
        <f t="shared" si="0"/>
        <v>0</v>
      </c>
      <c r="H7" s="145">
        <f t="shared" ref="H7:J7" si="1">H24+H40+H56</f>
        <v>0</v>
      </c>
      <c r="I7" s="145">
        <f t="shared" si="1"/>
        <v>0</v>
      </c>
      <c r="J7" s="146">
        <f t="shared" si="1"/>
        <v>0</v>
      </c>
      <c r="K7" s="139">
        <f>SUM(E7:J7)</f>
        <v>0</v>
      </c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19"/>
      <c r="CB7" s="219"/>
      <c r="CC7" s="219"/>
      <c r="CD7" s="219"/>
      <c r="CE7" s="219"/>
      <c r="CF7" s="219"/>
      <c r="CG7" s="219"/>
      <c r="CH7" s="219"/>
    </row>
    <row r="8" spans="1:86" s="131" customFormat="1" ht="15" thickBot="1" x14ac:dyDescent="0.25">
      <c r="A8" s="219"/>
      <c r="B8" s="219"/>
      <c r="C8" s="219"/>
      <c r="D8" s="135" t="s">
        <v>51</v>
      </c>
      <c r="E8" s="145">
        <f t="shared" si="0"/>
        <v>0</v>
      </c>
      <c r="F8" s="145">
        <f t="shared" si="0"/>
        <v>0</v>
      </c>
      <c r="G8" s="145">
        <f t="shared" si="0"/>
        <v>0</v>
      </c>
      <c r="H8" s="145">
        <f t="shared" ref="H8:J12" si="2">H25+H41+H57</f>
        <v>0</v>
      </c>
      <c r="I8" s="145">
        <f t="shared" si="2"/>
        <v>0</v>
      </c>
      <c r="J8" s="146">
        <f t="shared" si="2"/>
        <v>0</v>
      </c>
      <c r="K8" s="139">
        <f t="shared" ref="K8:K15" si="3">SUM(E8:J8)</f>
        <v>0</v>
      </c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219"/>
      <c r="CD8" s="219"/>
      <c r="CE8" s="219"/>
      <c r="CF8" s="219"/>
      <c r="CG8" s="219"/>
      <c r="CH8" s="219"/>
    </row>
    <row r="9" spans="1:86" s="131" customFormat="1" ht="15" thickBot="1" x14ac:dyDescent="0.25">
      <c r="A9" s="219"/>
      <c r="B9" s="219"/>
      <c r="C9" s="219"/>
      <c r="D9" s="135" t="s">
        <v>52</v>
      </c>
      <c r="E9" s="145">
        <f t="shared" si="0"/>
        <v>0</v>
      </c>
      <c r="F9" s="145">
        <f t="shared" si="0"/>
        <v>0</v>
      </c>
      <c r="G9" s="145">
        <f t="shared" si="0"/>
        <v>0</v>
      </c>
      <c r="H9" s="145">
        <f t="shared" si="2"/>
        <v>0</v>
      </c>
      <c r="I9" s="145">
        <f t="shared" si="2"/>
        <v>0</v>
      </c>
      <c r="J9" s="146">
        <f t="shared" si="2"/>
        <v>0</v>
      </c>
      <c r="K9" s="139">
        <f t="shared" si="3"/>
        <v>0</v>
      </c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  <c r="BR9" s="219"/>
      <c r="BS9" s="219"/>
      <c r="BT9" s="219"/>
      <c r="BU9" s="219"/>
      <c r="BV9" s="219"/>
      <c r="BW9" s="219"/>
      <c r="BX9" s="219"/>
      <c r="BY9" s="219"/>
      <c r="BZ9" s="219"/>
      <c r="CA9" s="219"/>
      <c r="CB9" s="219"/>
      <c r="CC9" s="219"/>
      <c r="CD9" s="219"/>
      <c r="CE9" s="219"/>
      <c r="CF9" s="219"/>
      <c r="CG9" s="219"/>
      <c r="CH9" s="219"/>
    </row>
    <row r="10" spans="1:86" s="131" customFormat="1" ht="15" thickBot="1" x14ac:dyDescent="0.25">
      <c r="A10" s="219"/>
      <c r="B10" s="219"/>
      <c r="C10" s="219"/>
      <c r="D10" s="135" t="s">
        <v>51</v>
      </c>
      <c r="E10" s="145">
        <f t="shared" si="0"/>
        <v>0</v>
      </c>
      <c r="F10" s="145">
        <f t="shared" si="0"/>
        <v>0</v>
      </c>
      <c r="G10" s="145">
        <f t="shared" si="0"/>
        <v>0</v>
      </c>
      <c r="H10" s="145">
        <f t="shared" si="2"/>
        <v>0</v>
      </c>
      <c r="I10" s="145">
        <f t="shared" si="2"/>
        <v>0</v>
      </c>
      <c r="J10" s="146">
        <f t="shared" si="2"/>
        <v>0</v>
      </c>
      <c r="K10" s="139">
        <f t="shared" si="3"/>
        <v>0</v>
      </c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</row>
    <row r="11" spans="1:86" s="131" customFormat="1" ht="15" thickBot="1" x14ac:dyDescent="0.25">
      <c r="A11" s="219"/>
      <c r="B11" s="219"/>
      <c r="C11" s="219"/>
      <c r="D11" s="135" t="s">
        <v>53</v>
      </c>
      <c r="E11" s="145">
        <f t="shared" si="0"/>
        <v>0</v>
      </c>
      <c r="F11" s="145">
        <f t="shared" si="0"/>
        <v>0</v>
      </c>
      <c r="G11" s="145">
        <f t="shared" si="0"/>
        <v>0</v>
      </c>
      <c r="H11" s="145">
        <f t="shared" si="2"/>
        <v>0</v>
      </c>
      <c r="I11" s="145">
        <f t="shared" si="2"/>
        <v>0</v>
      </c>
      <c r="J11" s="146">
        <f t="shared" si="2"/>
        <v>0</v>
      </c>
      <c r="K11" s="139">
        <f t="shared" si="3"/>
        <v>0</v>
      </c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</row>
    <row r="12" spans="1:86" s="131" customFormat="1" ht="15" thickBot="1" x14ac:dyDescent="0.25">
      <c r="A12" s="219"/>
      <c r="B12" s="219"/>
      <c r="C12" s="219"/>
      <c r="D12" s="135" t="s">
        <v>51</v>
      </c>
      <c r="E12" s="147">
        <f t="shared" si="0"/>
        <v>0</v>
      </c>
      <c r="F12" s="147">
        <f t="shared" si="0"/>
        <v>0</v>
      </c>
      <c r="G12" s="147">
        <f t="shared" si="0"/>
        <v>0</v>
      </c>
      <c r="H12" s="147">
        <f t="shared" si="2"/>
        <v>0</v>
      </c>
      <c r="I12" s="147">
        <f t="shared" si="2"/>
        <v>0</v>
      </c>
      <c r="J12" s="148">
        <f t="shared" si="2"/>
        <v>0</v>
      </c>
      <c r="K12" s="139">
        <f t="shared" si="3"/>
        <v>0</v>
      </c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</row>
    <row r="13" spans="1:86" s="131" customFormat="1" ht="24" x14ac:dyDescent="0.2">
      <c r="A13" s="219"/>
      <c r="B13" s="219"/>
      <c r="C13" s="219"/>
      <c r="D13" s="135" t="s">
        <v>54</v>
      </c>
      <c r="E13" s="138">
        <f>E7+E9+E11</f>
        <v>0</v>
      </c>
      <c r="F13" s="138">
        <f t="shared" ref="F13:J13" si="4">F7+F9+F11</f>
        <v>0</v>
      </c>
      <c r="G13" s="138">
        <f t="shared" si="4"/>
        <v>0</v>
      </c>
      <c r="H13" s="138">
        <f t="shared" si="4"/>
        <v>0</v>
      </c>
      <c r="I13" s="138">
        <f t="shared" si="4"/>
        <v>0</v>
      </c>
      <c r="J13" s="138">
        <f t="shared" si="4"/>
        <v>0</v>
      </c>
      <c r="K13" s="140">
        <f t="shared" si="3"/>
        <v>0</v>
      </c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</row>
    <row r="14" spans="1:86" s="131" customFormat="1" ht="24.75" thickBot="1" x14ac:dyDescent="0.25">
      <c r="A14" s="219"/>
      <c r="B14" s="219"/>
      <c r="C14" s="219"/>
      <c r="D14" s="136" t="s">
        <v>55</v>
      </c>
      <c r="E14" s="143">
        <f>E8+E10+E12</f>
        <v>0</v>
      </c>
      <c r="F14" s="143">
        <f t="shared" ref="F14:J14" si="5">F8+F10+F12</f>
        <v>0</v>
      </c>
      <c r="G14" s="143">
        <f t="shared" si="5"/>
        <v>0</v>
      </c>
      <c r="H14" s="143">
        <f t="shared" si="5"/>
        <v>0</v>
      </c>
      <c r="I14" s="143">
        <f t="shared" si="5"/>
        <v>0</v>
      </c>
      <c r="J14" s="143">
        <f t="shared" si="5"/>
        <v>0</v>
      </c>
      <c r="K14" s="139">
        <f t="shared" si="3"/>
        <v>0</v>
      </c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</row>
    <row r="15" spans="1:86" s="131" customFormat="1" ht="24.75" thickBot="1" x14ac:dyDescent="0.25">
      <c r="A15" s="219"/>
      <c r="B15" s="219"/>
      <c r="C15" s="219"/>
      <c r="D15" s="137" t="s">
        <v>56</v>
      </c>
      <c r="E15" s="144">
        <f>E32+E48+E64</f>
        <v>0</v>
      </c>
      <c r="F15" s="144">
        <f>F32+F48+F64</f>
        <v>0</v>
      </c>
      <c r="G15" s="144">
        <f>G32+G48+G64</f>
        <v>0</v>
      </c>
      <c r="H15" s="144">
        <f t="shared" ref="H15:J15" si="6">H32+H48+H64</f>
        <v>0</v>
      </c>
      <c r="I15" s="144">
        <f t="shared" si="6"/>
        <v>0</v>
      </c>
      <c r="J15" s="144">
        <f t="shared" si="6"/>
        <v>0</v>
      </c>
      <c r="K15" s="142">
        <f t="shared" si="3"/>
        <v>0</v>
      </c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  <c r="BR15" s="219"/>
      <c r="BS15" s="219"/>
      <c r="BT15" s="219"/>
      <c r="BU15" s="219"/>
      <c r="BV15" s="219"/>
      <c r="BW15" s="219"/>
      <c r="BX15" s="219"/>
      <c r="BY15" s="219"/>
      <c r="BZ15" s="219"/>
      <c r="CA15" s="219"/>
      <c r="CB15" s="219"/>
      <c r="CC15" s="219"/>
      <c r="CD15" s="219"/>
      <c r="CE15" s="219"/>
      <c r="CF15" s="219"/>
      <c r="CG15" s="219"/>
      <c r="CH15" s="219"/>
    </row>
    <row r="16" spans="1:86" s="221" customFormat="1" ht="14.25" thickTop="1" thickBot="1" x14ac:dyDescent="0.25"/>
    <row r="17" spans="4:11" s="221" customFormat="1" ht="14.25" thickTop="1" thickBot="1" x14ac:dyDescent="0.25">
      <c r="E17" s="223" t="s">
        <v>62</v>
      </c>
      <c r="F17" s="225">
        <f>F34+F50+F66</f>
        <v>0</v>
      </c>
      <c r="I17" s="223" t="s">
        <v>61</v>
      </c>
      <c r="J17" s="225">
        <f>J34+J50+J66</f>
        <v>0</v>
      </c>
    </row>
    <row r="18" spans="4:11" s="221" customFormat="1" ht="13.5" thickTop="1" x14ac:dyDescent="0.2"/>
    <row r="19" spans="4:11" s="222" customFormat="1" ht="13.5" thickBot="1" x14ac:dyDescent="0.25"/>
    <row r="20" spans="4:11" ht="14.25" thickTop="1" thickBot="1" x14ac:dyDescent="0.25"/>
    <row r="21" spans="4:11" ht="25.5" customHeight="1" thickTop="1" x14ac:dyDescent="0.2">
      <c r="D21" s="355" t="s">
        <v>57</v>
      </c>
      <c r="H21" s="218" t="str">
        <f>TEXT(DATEVALUE(Day &amp; ", " &amp; Month &amp; ", " &amp; Year), "ddd, dd mmm, yyyy")</f>
        <v>Sun, 01 Apr, 2018</v>
      </c>
      <c r="I21" s="218"/>
      <c r="J21" s="218" t="str">
        <f>"Page " &amp; IF(chkNights = TRUE, (Day * 3) -2)</f>
        <v>Page 1</v>
      </c>
    </row>
    <row r="22" spans="4:11" ht="6" customHeight="1" thickBot="1" x14ac:dyDescent="0.25">
      <c r="D22" s="356"/>
    </row>
    <row r="23" spans="4:11" ht="25.5" thickTop="1" thickBot="1" x14ac:dyDescent="0.25">
      <c r="D23" s="132" t="s">
        <v>48</v>
      </c>
      <c r="E23" s="133" t="s">
        <v>1</v>
      </c>
      <c r="F23" s="133" t="s">
        <v>2</v>
      </c>
      <c r="G23" s="133" t="s">
        <v>3</v>
      </c>
      <c r="H23" s="133" t="s">
        <v>4</v>
      </c>
      <c r="I23" s="133" t="s">
        <v>5</v>
      </c>
      <c r="J23" s="133" t="s">
        <v>49</v>
      </c>
      <c r="K23" s="134" t="s">
        <v>7</v>
      </c>
    </row>
    <row r="24" spans="4:11" ht="14.25" x14ac:dyDescent="0.2">
      <c r="D24" s="135" t="s">
        <v>50</v>
      </c>
      <c r="E24" s="155"/>
      <c r="F24" s="156"/>
      <c r="G24" s="156"/>
      <c r="H24" s="156"/>
      <c r="I24" s="156"/>
      <c r="J24" s="157"/>
      <c r="K24" s="139">
        <f>SUM(E24:J24)</f>
        <v>0</v>
      </c>
    </row>
    <row r="25" spans="4:11" ht="14.25" x14ac:dyDescent="0.2">
      <c r="D25" s="135" t="s">
        <v>51</v>
      </c>
      <c r="E25" s="158"/>
      <c r="F25" s="159"/>
      <c r="G25" s="159"/>
      <c r="H25" s="159"/>
      <c r="I25" s="159"/>
      <c r="J25" s="160"/>
      <c r="K25" s="139">
        <f t="shared" ref="K25:K32" si="7">SUM(E25:J25)</f>
        <v>0</v>
      </c>
    </row>
    <row r="26" spans="4:11" ht="14.25" x14ac:dyDescent="0.2">
      <c r="D26" s="135" t="s">
        <v>52</v>
      </c>
      <c r="E26" s="158"/>
      <c r="F26" s="159"/>
      <c r="G26" s="159"/>
      <c r="H26" s="159"/>
      <c r="I26" s="159"/>
      <c r="J26" s="160"/>
      <c r="K26" s="139">
        <f t="shared" si="7"/>
        <v>0</v>
      </c>
    </row>
    <row r="27" spans="4:11" ht="14.25" x14ac:dyDescent="0.2">
      <c r="D27" s="135" t="s">
        <v>51</v>
      </c>
      <c r="E27" s="158"/>
      <c r="F27" s="159"/>
      <c r="G27" s="159"/>
      <c r="H27" s="159"/>
      <c r="I27" s="159"/>
      <c r="J27" s="160"/>
      <c r="K27" s="139">
        <f t="shared" si="7"/>
        <v>0</v>
      </c>
    </row>
    <row r="28" spans="4:11" ht="14.25" x14ac:dyDescent="0.2">
      <c r="D28" s="135" t="s">
        <v>53</v>
      </c>
      <c r="E28" s="158"/>
      <c r="F28" s="159"/>
      <c r="G28" s="159"/>
      <c r="H28" s="159"/>
      <c r="I28" s="159"/>
      <c r="J28" s="160"/>
      <c r="K28" s="139">
        <f t="shared" si="7"/>
        <v>0</v>
      </c>
    </row>
    <row r="29" spans="4:11" ht="15" thickBot="1" x14ac:dyDescent="0.25">
      <c r="D29" s="135" t="s">
        <v>51</v>
      </c>
      <c r="E29" s="161"/>
      <c r="F29" s="162"/>
      <c r="G29" s="162"/>
      <c r="H29" s="162"/>
      <c r="I29" s="162"/>
      <c r="J29" s="163"/>
      <c r="K29" s="139">
        <f t="shared" si="7"/>
        <v>0</v>
      </c>
    </row>
    <row r="30" spans="4:11" ht="24" x14ac:dyDescent="0.2">
      <c r="D30" s="135" t="s">
        <v>54</v>
      </c>
      <c r="E30" s="138">
        <f>E24+E26+E28</f>
        <v>0</v>
      </c>
      <c r="F30" s="138">
        <f t="shared" ref="F30:J30" si="8">F24+F26+F28</f>
        <v>0</v>
      </c>
      <c r="G30" s="138">
        <f t="shared" si="8"/>
        <v>0</v>
      </c>
      <c r="H30" s="138">
        <f t="shared" si="8"/>
        <v>0</v>
      </c>
      <c r="I30" s="138">
        <f t="shared" si="8"/>
        <v>0</v>
      </c>
      <c r="J30" s="138">
        <f t="shared" si="8"/>
        <v>0</v>
      </c>
      <c r="K30" s="140">
        <f t="shared" si="7"/>
        <v>0</v>
      </c>
    </row>
    <row r="31" spans="4:11" ht="24.75" thickBot="1" x14ac:dyDescent="0.25">
      <c r="D31" s="136" t="s">
        <v>55</v>
      </c>
      <c r="E31" s="143">
        <f>E25+E27+E29</f>
        <v>0</v>
      </c>
      <c r="F31" s="143">
        <f t="shared" ref="F31:J31" si="9">F25+F27+F29</f>
        <v>0</v>
      </c>
      <c r="G31" s="143">
        <f t="shared" si="9"/>
        <v>0</v>
      </c>
      <c r="H31" s="143">
        <f t="shared" si="9"/>
        <v>0</v>
      </c>
      <c r="I31" s="143">
        <f t="shared" si="9"/>
        <v>0</v>
      </c>
      <c r="J31" s="143">
        <f t="shared" si="9"/>
        <v>0</v>
      </c>
      <c r="K31" s="139">
        <f t="shared" si="7"/>
        <v>0</v>
      </c>
    </row>
    <row r="32" spans="4:11" ht="24.75" thickBot="1" x14ac:dyDescent="0.25">
      <c r="D32" s="137" t="s">
        <v>56</v>
      </c>
      <c r="E32" s="149"/>
      <c r="F32" s="150"/>
      <c r="G32" s="150"/>
      <c r="H32" s="150"/>
      <c r="I32" s="150"/>
      <c r="J32" s="151"/>
      <c r="K32" s="175">
        <f t="shared" si="7"/>
        <v>0</v>
      </c>
    </row>
    <row r="33" spans="4:11" s="183" customFormat="1" ht="9" customHeight="1" thickTop="1" thickBot="1" x14ac:dyDescent="0.25">
      <c r="D33" s="184"/>
      <c r="E33" s="185"/>
      <c r="F33" s="185"/>
      <c r="G33" s="185"/>
      <c r="H33" s="185"/>
      <c r="I33" s="185"/>
      <c r="J33" s="185"/>
      <c r="K33" s="186"/>
    </row>
    <row r="34" spans="4:11" s="98" customFormat="1" ht="15.75" thickTop="1" thickBot="1" x14ac:dyDescent="0.25">
      <c r="D34" s="173"/>
      <c r="E34" s="176" t="s">
        <v>62</v>
      </c>
      <c r="F34" s="201"/>
      <c r="G34" s="177"/>
      <c r="H34" s="177"/>
      <c r="I34" s="176" t="s">
        <v>61</v>
      </c>
      <c r="J34" s="201"/>
      <c r="K34" s="174"/>
    </row>
    <row r="35" spans="4:11" s="182" customFormat="1" ht="21.75" customHeight="1" thickTop="1" thickBot="1" x14ac:dyDescent="0.25">
      <c r="D35" s="179"/>
      <c r="E35" s="180"/>
      <c r="F35" s="180"/>
      <c r="G35" s="180"/>
      <c r="H35" s="180"/>
      <c r="I35" s="180"/>
      <c r="J35" s="180"/>
      <c r="K35" s="181"/>
    </row>
    <row r="36" spans="4:11" ht="14.25" customHeight="1" thickBot="1" x14ac:dyDescent="0.25"/>
    <row r="37" spans="4:11" ht="25.5" customHeight="1" thickTop="1" x14ac:dyDescent="0.2">
      <c r="D37" s="351" t="s">
        <v>58</v>
      </c>
      <c r="H37" s="216" t="str">
        <f>TEXT(DATEVALUE(Day &amp; ", " &amp; Month &amp; ", " &amp; Year), "ddd, dd mmm, yyyy")</f>
        <v>Sun, 01 Apr, 2018</v>
      </c>
      <c r="I37" s="216"/>
      <c r="J37" s="216" t="str">
        <f>"Page " &amp; IF(chkNights = TRUE, (Day * 3) - 1,IF(chkAfternoons = TRUE,(Day * 2) -1, Day))</f>
        <v>Page 2</v>
      </c>
    </row>
    <row r="38" spans="4:11" ht="6" customHeight="1" thickBot="1" x14ac:dyDescent="0.25">
      <c r="D38" s="352"/>
    </row>
    <row r="39" spans="4:11" ht="25.5" thickTop="1" thickBot="1" x14ac:dyDescent="0.25">
      <c r="D39" s="132" t="s">
        <v>48</v>
      </c>
      <c r="E39" s="133" t="s">
        <v>1</v>
      </c>
      <c r="F39" s="133" t="s">
        <v>2</v>
      </c>
      <c r="G39" s="133" t="s">
        <v>3</v>
      </c>
      <c r="H39" s="133" t="s">
        <v>4</v>
      </c>
      <c r="I39" s="133" t="s">
        <v>5</v>
      </c>
      <c r="J39" s="133" t="s">
        <v>49</v>
      </c>
      <c r="K39" s="134" t="s">
        <v>7</v>
      </c>
    </row>
    <row r="40" spans="4:11" ht="14.25" x14ac:dyDescent="0.2">
      <c r="D40" s="135" t="s">
        <v>50</v>
      </c>
      <c r="E40" s="164"/>
      <c r="F40" s="165"/>
      <c r="G40" s="165"/>
      <c r="H40" s="165"/>
      <c r="I40" s="165"/>
      <c r="J40" s="166"/>
      <c r="K40" s="139">
        <f>SUM(E40:J40)</f>
        <v>0</v>
      </c>
    </row>
    <row r="41" spans="4:11" ht="14.25" x14ac:dyDescent="0.2">
      <c r="D41" s="135" t="s">
        <v>51</v>
      </c>
      <c r="E41" s="167"/>
      <c r="F41" s="168"/>
      <c r="G41" s="168"/>
      <c r="H41" s="168"/>
      <c r="I41" s="168"/>
      <c r="J41" s="169"/>
      <c r="K41" s="139">
        <f t="shared" ref="K41:K48" si="10">SUM(E41:J41)</f>
        <v>0</v>
      </c>
    </row>
    <row r="42" spans="4:11" ht="14.25" x14ac:dyDescent="0.2">
      <c r="D42" s="135" t="s">
        <v>52</v>
      </c>
      <c r="E42" s="167"/>
      <c r="F42" s="168"/>
      <c r="G42" s="168"/>
      <c r="H42" s="168"/>
      <c r="I42" s="168"/>
      <c r="J42" s="169"/>
      <c r="K42" s="139">
        <f t="shared" si="10"/>
        <v>0</v>
      </c>
    </row>
    <row r="43" spans="4:11" ht="14.25" x14ac:dyDescent="0.2">
      <c r="D43" s="135" t="s">
        <v>51</v>
      </c>
      <c r="E43" s="167"/>
      <c r="F43" s="168"/>
      <c r="G43" s="168"/>
      <c r="H43" s="168"/>
      <c r="I43" s="168"/>
      <c r="J43" s="169"/>
      <c r="K43" s="139">
        <f t="shared" si="10"/>
        <v>0</v>
      </c>
    </row>
    <row r="44" spans="4:11" ht="14.25" x14ac:dyDescent="0.2">
      <c r="D44" s="135" t="s">
        <v>53</v>
      </c>
      <c r="E44" s="167"/>
      <c r="F44" s="168"/>
      <c r="G44" s="168"/>
      <c r="H44" s="168"/>
      <c r="I44" s="168"/>
      <c r="J44" s="169"/>
      <c r="K44" s="139">
        <f t="shared" si="10"/>
        <v>0</v>
      </c>
    </row>
    <row r="45" spans="4:11" ht="15" thickBot="1" x14ac:dyDescent="0.25">
      <c r="D45" s="135" t="s">
        <v>51</v>
      </c>
      <c r="E45" s="170"/>
      <c r="F45" s="171"/>
      <c r="G45" s="171"/>
      <c r="H45" s="171"/>
      <c r="I45" s="171"/>
      <c r="J45" s="172"/>
      <c r="K45" s="139">
        <f t="shared" si="10"/>
        <v>0</v>
      </c>
    </row>
    <row r="46" spans="4:11" ht="24" x14ac:dyDescent="0.2">
      <c r="D46" s="135" t="s">
        <v>54</v>
      </c>
      <c r="E46" s="138">
        <f>E40+E42+E44</f>
        <v>0</v>
      </c>
      <c r="F46" s="138">
        <f t="shared" ref="F46:J46" si="11">F40+F42+F44</f>
        <v>0</v>
      </c>
      <c r="G46" s="138">
        <f t="shared" si="11"/>
        <v>0</v>
      </c>
      <c r="H46" s="138">
        <f t="shared" si="11"/>
        <v>0</v>
      </c>
      <c r="I46" s="138">
        <f t="shared" si="11"/>
        <v>0</v>
      </c>
      <c r="J46" s="138">
        <f t="shared" si="11"/>
        <v>0</v>
      </c>
      <c r="K46" s="140">
        <f t="shared" si="10"/>
        <v>0</v>
      </c>
    </row>
    <row r="47" spans="4:11" ht="24.75" thickBot="1" x14ac:dyDescent="0.25">
      <c r="D47" s="136" t="s">
        <v>55</v>
      </c>
      <c r="E47" s="143">
        <f>E41+E43+E45</f>
        <v>0</v>
      </c>
      <c r="F47" s="143">
        <f t="shared" ref="F47:J47" si="12">F41+F43+F45</f>
        <v>0</v>
      </c>
      <c r="G47" s="143">
        <f t="shared" si="12"/>
        <v>0</v>
      </c>
      <c r="H47" s="143">
        <f t="shared" si="12"/>
        <v>0</v>
      </c>
      <c r="I47" s="143">
        <f t="shared" si="12"/>
        <v>0</v>
      </c>
      <c r="J47" s="143">
        <f t="shared" si="12"/>
        <v>0</v>
      </c>
      <c r="K47" s="139">
        <f t="shared" si="10"/>
        <v>0</v>
      </c>
    </row>
    <row r="48" spans="4:11" ht="24.75" thickBot="1" x14ac:dyDescent="0.25">
      <c r="D48" s="137" t="s">
        <v>56</v>
      </c>
      <c r="E48" s="152"/>
      <c r="F48" s="153"/>
      <c r="G48" s="153"/>
      <c r="H48" s="153"/>
      <c r="I48" s="153"/>
      <c r="J48" s="154"/>
      <c r="K48" s="175">
        <f t="shared" si="10"/>
        <v>0</v>
      </c>
    </row>
    <row r="49" spans="4:15" ht="6.75" customHeight="1" thickTop="1" thickBot="1" x14ac:dyDescent="0.25"/>
    <row r="50" spans="4:15" ht="15.75" customHeight="1" thickTop="1" thickBot="1" x14ac:dyDescent="0.25">
      <c r="E50" s="176" t="s">
        <v>62</v>
      </c>
      <c r="F50" s="187"/>
      <c r="G50" s="177"/>
      <c r="H50" s="177"/>
      <c r="I50" s="176" t="s">
        <v>61</v>
      </c>
      <c r="J50" s="187"/>
    </row>
    <row r="51" spans="4:15" s="178" customFormat="1" ht="19.5" customHeight="1" thickTop="1" thickBot="1" x14ac:dyDescent="0.25"/>
    <row r="52" spans="4:15" ht="19.5" customHeight="1" thickBot="1" x14ac:dyDescent="0.25"/>
    <row r="53" spans="4:15" ht="25.5" customHeight="1" thickTop="1" x14ac:dyDescent="0.2">
      <c r="D53" s="353" t="s">
        <v>59</v>
      </c>
      <c r="H53" s="217" t="str">
        <f>TEXT(DATEVALUE(Day &amp; ", " &amp; Month &amp; ", " &amp; Year), "ddd, dd mmm yyyy")</f>
        <v>Sun, 01 Apr 2018</v>
      </c>
      <c r="I53" s="217"/>
      <c r="J53" s="217" t="str">
        <f>"Page " &amp; IF(chkNights = TRUE, (Day * 3), Day * 2)</f>
        <v>Page 3</v>
      </c>
    </row>
    <row r="54" spans="4:15" ht="9" customHeight="1" thickBot="1" x14ac:dyDescent="0.25">
      <c r="D54" s="354"/>
    </row>
    <row r="55" spans="4:15" ht="25.5" thickTop="1" thickBot="1" x14ac:dyDescent="0.25">
      <c r="D55" s="132" t="s">
        <v>48</v>
      </c>
      <c r="E55" s="133" t="s">
        <v>1</v>
      </c>
      <c r="F55" s="133" t="s">
        <v>2</v>
      </c>
      <c r="G55" s="133" t="s">
        <v>3</v>
      </c>
      <c r="H55" s="133" t="s">
        <v>4</v>
      </c>
      <c r="I55" s="133" t="s">
        <v>5</v>
      </c>
      <c r="J55" s="133" t="s">
        <v>49</v>
      </c>
      <c r="K55" s="134" t="s">
        <v>7</v>
      </c>
    </row>
    <row r="56" spans="4:15" ht="14.25" x14ac:dyDescent="0.2">
      <c r="D56" s="135" t="s">
        <v>50</v>
      </c>
      <c r="E56" s="192"/>
      <c r="F56" s="193"/>
      <c r="G56" s="193"/>
      <c r="H56" s="193"/>
      <c r="I56" s="193"/>
      <c r="J56" s="194"/>
      <c r="K56" s="139">
        <f>SUM(E56:J56)</f>
        <v>0</v>
      </c>
    </row>
    <row r="57" spans="4:15" ht="14.25" x14ac:dyDescent="0.2">
      <c r="D57" s="135" t="s">
        <v>51</v>
      </c>
      <c r="E57" s="195"/>
      <c r="F57" s="196"/>
      <c r="G57" s="196"/>
      <c r="H57" s="196"/>
      <c r="I57" s="196"/>
      <c r="J57" s="197"/>
      <c r="K57" s="139">
        <f t="shared" ref="K57:K64" si="13">SUM(E57:J57)</f>
        <v>0</v>
      </c>
    </row>
    <row r="58" spans="4:15" ht="14.25" x14ac:dyDescent="0.2">
      <c r="D58" s="135" t="s">
        <v>52</v>
      </c>
      <c r="E58" s="195"/>
      <c r="F58" s="196"/>
      <c r="G58" s="196"/>
      <c r="H58" s="196"/>
      <c r="I58" s="196"/>
      <c r="J58" s="197"/>
      <c r="K58" s="139">
        <f t="shared" si="13"/>
        <v>0</v>
      </c>
    </row>
    <row r="59" spans="4:15" ht="14.25" x14ac:dyDescent="0.2">
      <c r="D59" s="135" t="s">
        <v>51</v>
      </c>
      <c r="E59" s="195"/>
      <c r="F59" s="196"/>
      <c r="G59" s="196"/>
      <c r="H59" s="196"/>
      <c r="I59" s="196"/>
      <c r="J59" s="197"/>
      <c r="K59" s="139">
        <f t="shared" si="13"/>
        <v>0</v>
      </c>
    </row>
    <row r="60" spans="4:15" ht="14.25" x14ac:dyDescent="0.2">
      <c r="D60" s="135" t="s">
        <v>53</v>
      </c>
      <c r="E60" s="195"/>
      <c r="F60" s="196"/>
      <c r="G60" s="196"/>
      <c r="H60" s="196"/>
      <c r="I60" s="196"/>
      <c r="J60" s="197"/>
      <c r="K60" s="139">
        <f t="shared" si="13"/>
        <v>0</v>
      </c>
    </row>
    <row r="61" spans="4:15" ht="15" thickBot="1" x14ac:dyDescent="0.25">
      <c r="D61" s="135" t="s">
        <v>51</v>
      </c>
      <c r="E61" s="198"/>
      <c r="F61" s="199"/>
      <c r="G61" s="199"/>
      <c r="H61" s="199"/>
      <c r="I61" s="199"/>
      <c r="J61" s="200"/>
      <c r="K61" s="139">
        <f t="shared" si="13"/>
        <v>0</v>
      </c>
    </row>
    <row r="62" spans="4:15" ht="24" x14ac:dyDescent="0.2">
      <c r="D62" s="135" t="s">
        <v>54</v>
      </c>
      <c r="E62" s="138">
        <f>E56+E58+E60</f>
        <v>0</v>
      </c>
      <c r="F62" s="138">
        <f t="shared" ref="F62:J62" si="14">F56+F58+F60</f>
        <v>0</v>
      </c>
      <c r="G62" s="138">
        <f t="shared" si="14"/>
        <v>0</v>
      </c>
      <c r="H62" s="138">
        <f t="shared" si="14"/>
        <v>0</v>
      </c>
      <c r="I62" s="138">
        <f t="shared" si="14"/>
        <v>0</v>
      </c>
      <c r="J62" s="138">
        <f t="shared" si="14"/>
        <v>0</v>
      </c>
      <c r="K62" s="140">
        <f t="shared" si="13"/>
        <v>0</v>
      </c>
    </row>
    <row r="63" spans="4:15" ht="24.75" thickBot="1" x14ac:dyDescent="0.25">
      <c r="D63" s="136" t="s">
        <v>55</v>
      </c>
      <c r="E63" s="143">
        <f>E57+E59+E61</f>
        <v>0</v>
      </c>
      <c r="F63" s="143">
        <f t="shared" ref="F63:J63" si="15">F57+F59+F61</f>
        <v>0</v>
      </c>
      <c r="G63" s="143">
        <f t="shared" si="15"/>
        <v>0</v>
      </c>
      <c r="H63" s="143">
        <f t="shared" si="15"/>
        <v>0</v>
      </c>
      <c r="I63" s="143">
        <f t="shared" si="15"/>
        <v>0</v>
      </c>
      <c r="J63" s="143">
        <f t="shared" si="15"/>
        <v>0</v>
      </c>
      <c r="K63" s="139">
        <f t="shared" si="13"/>
        <v>0</v>
      </c>
    </row>
    <row r="64" spans="4:15" ht="24.75" thickBot="1" x14ac:dyDescent="0.3">
      <c r="D64" s="137" t="s">
        <v>56</v>
      </c>
      <c r="E64" s="188"/>
      <c r="F64" s="189"/>
      <c r="G64" s="189"/>
      <c r="H64" s="189"/>
      <c r="I64" s="189"/>
      <c r="J64" s="190"/>
      <c r="K64" s="175">
        <f t="shared" si="13"/>
        <v>0</v>
      </c>
      <c r="O64" s="141"/>
    </row>
    <row r="65" spans="5:10" ht="6.75" customHeight="1" thickTop="1" thickBot="1" x14ac:dyDescent="0.25"/>
    <row r="66" spans="5:10" ht="16.5" customHeight="1" thickTop="1" thickBot="1" x14ac:dyDescent="0.25">
      <c r="E66" s="176" t="s">
        <v>62</v>
      </c>
      <c r="F66" s="191"/>
      <c r="G66" s="177"/>
      <c r="H66" s="177"/>
      <c r="I66" s="176" t="s">
        <v>61</v>
      </c>
      <c r="J66" s="191"/>
    </row>
    <row r="67" spans="5:10" s="178" customFormat="1" ht="14.25" thickTop="1" thickBot="1" x14ac:dyDescent="0.25"/>
    <row r="76" spans="5:10" x14ac:dyDescent="0.2">
      <c r="F76" s="203">
        <v>31</v>
      </c>
    </row>
  </sheetData>
  <sheetProtection sheet="1" objects="1" scenarios="1" selectLockedCells="1"/>
  <customSheetViews>
    <customSheetView guid="{14AE98E8-156C-417E-BA7E-1BAACB87F014}" scale="170" showGridLines="0" showRowCol="0" topLeftCell="A36">
      <selection activeCell="E40" sqref="E40"/>
    </customSheetView>
    <customSheetView guid="{9D06DB57-12DF-4033-9E9B-75F04FBF1F60}" scale="170" showGridLines="0" showRowCol="0" topLeftCell="A52">
      <selection activeCell="E56" sqref="E56"/>
    </customSheetView>
    <customSheetView guid="{5BEA7E47-9D9F-4ED1-B143-C5704EA3C6AB}" scale="170" showGridLines="0" showRowCol="0" topLeftCell="A20">
      <selection activeCell="E24" sqref="E24"/>
    </customSheetView>
    <customSheetView guid="{9679493F-7CDF-46D6-BE72-B12FE11A478F}" scale="170" showGridLines="0" showRowCol="0">
      <selection activeCell="E4" sqref="E4"/>
    </customSheetView>
  </customSheetViews>
  <mergeCells count="3">
    <mergeCell ref="D37:D38"/>
    <mergeCell ref="D53:D54"/>
    <mergeCell ref="D21:D22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228600</xdr:colOff>
                <xdr:row>36</xdr:row>
                <xdr:rowOff>19050</xdr:rowOff>
              </from>
              <to>
                <xdr:col>6</xdr:col>
                <xdr:colOff>457200</xdr:colOff>
                <xdr:row>36</xdr:row>
                <xdr:rowOff>295275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209550</xdr:colOff>
                <xdr:row>35</xdr:row>
                <xdr:rowOff>161925</xdr:rowOff>
              </from>
              <to>
                <xdr:col>6</xdr:col>
                <xdr:colOff>438150</xdr:colOff>
                <xdr:row>36</xdr:row>
                <xdr:rowOff>266700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114300</xdr:colOff>
                <xdr:row>19</xdr:row>
                <xdr:rowOff>171450</xdr:rowOff>
              </from>
              <to>
                <xdr:col>6</xdr:col>
                <xdr:colOff>342900</xdr:colOff>
                <xdr:row>20</xdr:row>
                <xdr:rowOff>266700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5"/>
    <col min="3" max="3" width="8.5703125" style="205" customWidth="1"/>
    <col min="4" max="4" width="4.5703125" style="205" customWidth="1"/>
    <col min="5" max="5" width="14" style="205" customWidth="1"/>
    <col min="6" max="7" width="9.140625" style="205"/>
    <col min="8" max="8" width="12.42578125" style="205" customWidth="1"/>
    <col min="9" max="9" width="9.140625" style="205"/>
    <col min="10" max="10" width="12.140625" style="205" customWidth="1"/>
    <col min="11" max="11" width="9.140625" style="205"/>
    <col min="12" max="12" width="10.7109375" style="205" customWidth="1"/>
    <col min="13" max="13" width="9.140625" style="205"/>
    <col min="14" max="14" width="10.42578125" style="205" customWidth="1"/>
    <col min="15" max="15" width="9.140625" style="205"/>
    <col min="16" max="16" width="15.140625" style="205" customWidth="1"/>
    <col min="17" max="17" width="19.5703125" style="205" customWidth="1"/>
    <col min="18" max="16384" width="9.140625" style="205"/>
  </cols>
  <sheetData>
    <row r="3" spans="4:17" ht="13.5" thickBot="1" x14ac:dyDescent="0.25"/>
    <row r="4" spans="4:17" ht="14.25" thickTop="1" thickBot="1" x14ac:dyDescent="0.25">
      <c r="D4" s="357" t="s">
        <v>66</v>
      </c>
      <c r="E4" s="358"/>
      <c r="H4" s="215" t="s">
        <v>77</v>
      </c>
      <c r="J4" s="215" t="s">
        <v>78</v>
      </c>
      <c r="L4" s="215" t="s">
        <v>79</v>
      </c>
      <c r="N4" s="215" t="s">
        <v>80</v>
      </c>
      <c r="P4" s="262" t="s">
        <v>92</v>
      </c>
      <c r="Q4" s="263" t="s">
        <v>111</v>
      </c>
    </row>
    <row r="5" spans="4:17" ht="13.5" thickTop="1" x14ac:dyDescent="0.2">
      <c r="D5" s="206">
        <v>1</v>
      </c>
      <c r="E5" s="209" t="s">
        <v>67</v>
      </c>
      <c r="H5" s="212">
        <v>1</v>
      </c>
      <c r="J5" s="212">
        <v>1</v>
      </c>
      <c r="L5" s="212">
        <v>1</v>
      </c>
      <c r="N5" s="212">
        <v>1</v>
      </c>
      <c r="P5" s="264" t="s">
        <v>93</v>
      </c>
      <c r="Q5" s="265">
        <v>2018</v>
      </c>
    </row>
    <row r="6" spans="4:17" ht="13.5" thickBot="1" x14ac:dyDescent="0.25">
      <c r="D6" s="207">
        <v>2</v>
      </c>
      <c r="E6" s="210" t="s">
        <v>68</v>
      </c>
      <c r="H6" s="213">
        <v>2</v>
      </c>
      <c r="J6" s="213">
        <v>2</v>
      </c>
      <c r="L6" s="213">
        <v>2</v>
      </c>
      <c r="N6" s="213">
        <v>2</v>
      </c>
      <c r="P6" s="266" t="s">
        <v>94</v>
      </c>
      <c r="Q6" s="267" t="s">
        <v>106</v>
      </c>
    </row>
    <row r="7" spans="4:17" ht="13.5" thickTop="1" x14ac:dyDescent="0.2">
      <c r="D7" s="207">
        <v>3</v>
      </c>
      <c r="E7" s="210" t="s">
        <v>69</v>
      </c>
      <c r="H7" s="213">
        <v>3</v>
      </c>
      <c r="J7" s="213">
        <v>3</v>
      </c>
      <c r="L7" s="213">
        <v>3</v>
      </c>
      <c r="N7" s="213">
        <v>3</v>
      </c>
    </row>
    <row r="8" spans="4:17" x14ac:dyDescent="0.2">
      <c r="D8" s="207">
        <v>4</v>
      </c>
      <c r="E8" s="210" t="s">
        <v>70</v>
      </c>
      <c r="H8" s="213">
        <v>4</v>
      </c>
      <c r="J8" s="213">
        <v>4</v>
      </c>
      <c r="L8" s="213">
        <v>4</v>
      </c>
      <c r="N8" s="213">
        <v>4</v>
      </c>
    </row>
    <row r="9" spans="4:17" x14ac:dyDescent="0.2">
      <c r="D9" s="207">
        <v>5</v>
      </c>
      <c r="E9" s="210" t="s">
        <v>71</v>
      </c>
      <c r="H9" s="213">
        <v>5</v>
      </c>
      <c r="J9" s="213">
        <v>5</v>
      </c>
      <c r="L9" s="213">
        <v>5</v>
      </c>
      <c r="N9" s="213">
        <v>5</v>
      </c>
    </row>
    <row r="10" spans="4:17" x14ac:dyDescent="0.2">
      <c r="D10" s="207">
        <v>6</v>
      </c>
      <c r="E10" s="210" t="s">
        <v>72</v>
      </c>
      <c r="H10" s="213">
        <v>6</v>
      </c>
      <c r="J10" s="213">
        <v>6</v>
      </c>
      <c r="L10" s="213">
        <v>6</v>
      </c>
      <c r="N10" s="213">
        <v>6</v>
      </c>
    </row>
    <row r="11" spans="4:17" x14ac:dyDescent="0.2">
      <c r="D11" s="207">
        <v>7</v>
      </c>
      <c r="E11" s="210" t="s">
        <v>73</v>
      </c>
      <c r="H11" s="213">
        <v>7</v>
      </c>
      <c r="J11" s="213">
        <v>7</v>
      </c>
      <c r="L11" s="213">
        <v>7</v>
      </c>
      <c r="N11" s="213">
        <v>7</v>
      </c>
    </row>
    <row r="12" spans="4:17" x14ac:dyDescent="0.2">
      <c r="D12" s="207">
        <v>8</v>
      </c>
      <c r="E12" s="210" t="s">
        <v>74</v>
      </c>
      <c r="H12" s="213">
        <v>8</v>
      </c>
      <c r="J12" s="213">
        <v>8</v>
      </c>
      <c r="L12" s="213">
        <v>8</v>
      </c>
      <c r="N12" s="213">
        <v>8</v>
      </c>
    </row>
    <row r="13" spans="4:17" x14ac:dyDescent="0.2">
      <c r="D13" s="207">
        <v>9</v>
      </c>
      <c r="E13" s="210" t="s">
        <v>65</v>
      </c>
      <c r="H13" s="213">
        <v>9</v>
      </c>
      <c r="J13" s="213">
        <v>9</v>
      </c>
      <c r="L13" s="213">
        <v>9</v>
      </c>
      <c r="N13" s="213">
        <v>9</v>
      </c>
    </row>
    <row r="14" spans="4:17" x14ac:dyDescent="0.2">
      <c r="D14" s="207">
        <v>10</v>
      </c>
      <c r="E14" s="210" t="s">
        <v>64</v>
      </c>
      <c r="H14" s="213">
        <v>10</v>
      </c>
      <c r="J14" s="213">
        <v>10</v>
      </c>
      <c r="L14" s="213">
        <v>10</v>
      </c>
      <c r="N14" s="213">
        <v>10</v>
      </c>
    </row>
    <row r="15" spans="4:17" x14ac:dyDescent="0.2">
      <c r="D15" s="207">
        <v>11</v>
      </c>
      <c r="E15" s="210" t="s">
        <v>75</v>
      </c>
      <c r="H15" s="213">
        <v>11</v>
      </c>
      <c r="J15" s="213">
        <v>11</v>
      </c>
      <c r="L15" s="213">
        <v>11</v>
      </c>
      <c r="N15" s="213">
        <v>11</v>
      </c>
    </row>
    <row r="16" spans="4:17" ht="13.5" thickBot="1" x14ac:dyDescent="0.25">
      <c r="D16" s="208">
        <v>12</v>
      </c>
      <c r="E16" s="211" t="s">
        <v>76</v>
      </c>
      <c r="H16" s="213">
        <v>12</v>
      </c>
      <c r="J16" s="213">
        <v>12</v>
      </c>
      <c r="L16" s="213">
        <v>12</v>
      </c>
      <c r="N16" s="213">
        <v>12</v>
      </c>
    </row>
    <row r="17" spans="8:14" ht="13.5" thickTop="1" x14ac:dyDescent="0.2">
      <c r="H17" s="213">
        <v>13</v>
      </c>
      <c r="J17" s="213">
        <v>13</v>
      </c>
      <c r="L17" s="213">
        <v>13</v>
      </c>
      <c r="N17" s="213">
        <v>13</v>
      </c>
    </row>
    <row r="18" spans="8:14" x14ac:dyDescent="0.2">
      <c r="H18" s="213">
        <v>14</v>
      </c>
      <c r="J18" s="213">
        <v>14</v>
      </c>
      <c r="L18" s="213">
        <v>14</v>
      </c>
      <c r="N18" s="213">
        <v>14</v>
      </c>
    </row>
    <row r="19" spans="8:14" x14ac:dyDescent="0.2">
      <c r="H19" s="213">
        <v>15</v>
      </c>
      <c r="J19" s="213">
        <v>15</v>
      </c>
      <c r="L19" s="213">
        <v>15</v>
      </c>
      <c r="N19" s="213">
        <v>15</v>
      </c>
    </row>
    <row r="20" spans="8:14" x14ac:dyDescent="0.2">
      <c r="H20" s="213">
        <v>16</v>
      </c>
      <c r="J20" s="213">
        <v>16</v>
      </c>
      <c r="L20" s="213">
        <v>16</v>
      </c>
      <c r="N20" s="213">
        <v>16</v>
      </c>
    </row>
    <row r="21" spans="8:14" x14ac:dyDescent="0.2">
      <c r="H21" s="213">
        <v>17</v>
      </c>
      <c r="J21" s="213">
        <v>17</v>
      </c>
      <c r="L21" s="213">
        <v>17</v>
      </c>
      <c r="N21" s="213">
        <v>17</v>
      </c>
    </row>
    <row r="22" spans="8:14" x14ac:dyDescent="0.2">
      <c r="H22" s="213">
        <v>18</v>
      </c>
      <c r="J22" s="213">
        <v>18</v>
      </c>
      <c r="L22" s="213">
        <v>18</v>
      </c>
      <c r="N22" s="213">
        <v>18</v>
      </c>
    </row>
    <row r="23" spans="8:14" x14ac:dyDescent="0.2">
      <c r="H23" s="213">
        <v>19</v>
      </c>
      <c r="J23" s="213">
        <v>19</v>
      </c>
      <c r="L23" s="213">
        <v>19</v>
      </c>
      <c r="N23" s="213">
        <v>19</v>
      </c>
    </row>
    <row r="24" spans="8:14" x14ac:dyDescent="0.2">
      <c r="H24" s="213">
        <v>20</v>
      </c>
      <c r="J24" s="213">
        <v>20</v>
      </c>
      <c r="L24" s="213">
        <v>20</v>
      </c>
      <c r="N24" s="213">
        <v>20</v>
      </c>
    </row>
    <row r="25" spans="8:14" x14ac:dyDescent="0.2">
      <c r="H25" s="213">
        <v>21</v>
      </c>
      <c r="J25" s="213">
        <v>21</v>
      </c>
      <c r="L25" s="213">
        <v>21</v>
      </c>
      <c r="N25" s="213">
        <v>21</v>
      </c>
    </row>
    <row r="26" spans="8:14" x14ac:dyDescent="0.2">
      <c r="H26" s="213">
        <v>22</v>
      </c>
      <c r="J26" s="213">
        <v>22</v>
      </c>
      <c r="L26" s="213">
        <v>22</v>
      </c>
      <c r="N26" s="213">
        <v>22</v>
      </c>
    </row>
    <row r="27" spans="8:14" x14ac:dyDescent="0.2">
      <c r="H27" s="213">
        <v>23</v>
      </c>
      <c r="J27" s="213">
        <v>23</v>
      </c>
      <c r="L27" s="213">
        <v>23</v>
      </c>
      <c r="N27" s="213">
        <v>23</v>
      </c>
    </row>
    <row r="28" spans="8:14" x14ac:dyDescent="0.2">
      <c r="H28" s="213">
        <v>24</v>
      </c>
      <c r="J28" s="213">
        <v>24</v>
      </c>
      <c r="L28" s="213">
        <v>24</v>
      </c>
      <c r="N28" s="213">
        <v>24</v>
      </c>
    </row>
    <row r="29" spans="8:14" x14ac:dyDescent="0.2">
      <c r="H29" s="213">
        <v>25</v>
      </c>
      <c r="J29" s="213">
        <v>25</v>
      </c>
      <c r="L29" s="213">
        <v>25</v>
      </c>
      <c r="N29" s="213">
        <v>25</v>
      </c>
    </row>
    <row r="30" spans="8:14" x14ac:dyDescent="0.2">
      <c r="H30" s="213">
        <v>26</v>
      </c>
      <c r="J30" s="213">
        <v>26</v>
      </c>
      <c r="L30" s="213">
        <v>26</v>
      </c>
      <c r="N30" s="213">
        <v>26</v>
      </c>
    </row>
    <row r="31" spans="8:14" x14ac:dyDescent="0.2">
      <c r="H31" s="213">
        <v>27</v>
      </c>
      <c r="J31" s="213">
        <v>27</v>
      </c>
      <c r="L31" s="213">
        <v>27</v>
      </c>
      <c r="N31" s="213">
        <v>27</v>
      </c>
    </row>
    <row r="32" spans="8:14" ht="13.5" thickBot="1" x14ac:dyDescent="0.25">
      <c r="H32" s="213">
        <v>28</v>
      </c>
      <c r="J32" s="213">
        <v>28</v>
      </c>
      <c r="L32" s="214">
        <v>28</v>
      </c>
      <c r="N32" s="213">
        <v>28</v>
      </c>
    </row>
    <row r="33" spans="8:14" ht="14.25" thickTop="1" thickBot="1" x14ac:dyDescent="0.25">
      <c r="H33" s="213">
        <v>29</v>
      </c>
      <c r="J33" s="213">
        <v>29</v>
      </c>
      <c r="N33" s="214">
        <v>29</v>
      </c>
    </row>
    <row r="34" spans="8:14" ht="14.25" thickTop="1" thickBot="1" x14ac:dyDescent="0.25">
      <c r="H34" s="214">
        <v>30</v>
      </c>
      <c r="J34" s="213">
        <v>30</v>
      </c>
    </row>
    <row r="35" spans="8:14" ht="14.25" thickTop="1" thickBot="1" x14ac:dyDescent="0.25">
      <c r="J35" s="214">
        <v>31</v>
      </c>
    </row>
    <row r="36" spans="8:14" ht="13.5" thickTop="1" x14ac:dyDescent="0.2"/>
  </sheetData>
  <sheetProtection sheet="1" objects="1" scenarios="1" selectLockedCells="1"/>
  <customSheetViews>
    <customSheetView guid="{14AE98E8-156C-417E-BA7E-1BAACB87F014}" showGridLines="0" showRowCol="0" state="hidden">
      <selection activeCell="O13" sqref="O13"/>
    </customSheetView>
    <customSheetView guid="{9D06DB57-12DF-4033-9E9B-75F04FBF1F60}" showGridLines="0" showRowCol="0" state="hidden">
      <selection activeCell="O13" sqref="O13"/>
    </customSheetView>
    <customSheetView guid="{5BEA7E47-9D9F-4ED1-B143-C5704EA3C6AB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78</vt:i4>
      </vt:variant>
    </vt:vector>
  </HeadingPairs>
  <TitlesOfParts>
    <vt:vector size="91" baseType="lpstr">
      <vt:lpstr>Fruit Confiscated</vt:lpstr>
      <vt:lpstr>Commercial Vehicles</vt:lpstr>
      <vt:lpstr>Cars</vt:lpstr>
      <vt:lpstr>Vehicle Counter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Cars</vt:lpstr>
      <vt:lpstr>Cattle</vt:lpstr>
      <vt:lpstr>chkAfternoons</vt:lpstr>
      <vt:lpstr>chkNights</vt:lpstr>
      <vt:lpstr>CommercialVehicles</vt:lpstr>
      <vt:lpstr>DateComercialVehicles</vt:lpstr>
      <vt:lpstr>DateFruitConfiscated</vt:lpstr>
      <vt:lpstr>DateMidnight</vt:lpstr>
      <vt:lpstr>DateShiftStats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2016-09-26T09:18:19Z</cp:lastPrinted>
  <dcterms:created xsi:type="dcterms:W3CDTF">1998-05-04T06:57:40Z</dcterms:created>
  <dcterms:modified xsi:type="dcterms:W3CDTF">2017-06-20T00:03:44Z</dcterms:modified>
</cp:coreProperties>
</file>