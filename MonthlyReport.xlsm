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2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very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16" i="11" l="1"/>
  <c r="F70" i="13" l="1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<sst xmlns="http://schemas.openxmlformats.org/spreadsheetml/2006/main" count="253" uniqueCount="116">
  <si>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</si>
  <si>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</si>
  <si>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</si>
  <si>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</si>
  <si>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</si>
  <si>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</si>
  <si>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</si>
  <si>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</si>
  <si>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</si>
  <si>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</si>
  <si>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</si>
  <si>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</si>
  <si>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</si>
  <si>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</si>
  <si>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</si>
  <si>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</si>
  <si>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</si>
  <si>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</si>
  <si>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</si>
  <si>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</si>
  <si>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</si>
  <si>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</si>
  <si>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</si>
  <si>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</si>
  <si>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</si>
  <si>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</si>
  <si>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</si>
  <si>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</si>
  <si>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</si>
  <si>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</si>
  <si>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</si>
  <si>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</si>
  <si>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</si>
  <si>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</si>
  <si>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</si>
  <si>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</si>
  <si>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</si>
  <si>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</si>
  <si>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</si>
  <si>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</si>
  <si>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</si>
  <si>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</si>
  <si>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</si>
  <si>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</si>
  <si>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</si>
  <si>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</si>
  <si>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</si>
  <si>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</si>
  <si>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</si>
  <si>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</si>
  <si>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</si>
  <si>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</si>
  <si>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</si>
  <si>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</si>
  <si>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</si>
  <si>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</si>
  <si>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</si>
  <si>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</si>
  <si>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</si>
  <si>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</si>
  <si>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</si>
  <si>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</si>
  <si>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</si>
  <si>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</si>
  <si>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</si>
  <si>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</si>
  <si>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</si>
  <si>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</si>
  <si>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</si>
  <si>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</si>
  <si>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</si>
  <si>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</si>
  <si>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</si>
  <si>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</si>
  <si>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</si>
  <si>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</si>
  <si>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</si>
  <si>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</si>
  <si>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</si>
  <si>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</si>
  <si>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</si>
  <si>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</si>
  <si>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</si>
  <si>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</si>
  <si>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</si>
  <si>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</si>
  <si>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</si>
  <si>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</si>
  <si>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</si>
  <si>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</si>
  <si>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</si>
  <si>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</si>
  <si>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</si>
  <si>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</si>
  <si>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</si>
  <si>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</si>
  <si>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</si>
  <si>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</si>
  <si>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</si>
  <si>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</si>
  <si>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</si>
  <si>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</si>
  <si>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</si>
  <si>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</si>
  <si>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</si>
  <si>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</si>
  <si>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</si>
  <si>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</si>
  <si>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</si>
  <si>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</si>
  <si>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</si>
  <si>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</si>
  <si>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</si>
  <si>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</si>
  <si>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</si>
  <si>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August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</si>
</sst>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81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018712"/>
        <c:axId val="302019496"/>
      </c:barChart>
      <c:catAx>
        <c:axId val="30201871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0194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019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0187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020280"/>
        <c:axId val="302020672"/>
      </c:barChart>
      <c:catAx>
        <c:axId val="30202028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0206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020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0202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021456"/>
        <c:axId val="302021848"/>
      </c:barChart>
      <c:catAx>
        <c:axId val="30202145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02184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021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0214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544792"/>
        <c:axId val="302545184"/>
      </c:barChart>
      <c:catAx>
        <c:axId val="302544792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51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545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479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547928"/>
        <c:axId val="302544008"/>
      </c:barChart>
      <c:catAx>
        <c:axId val="302547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54400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54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54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548320"/>
        <c:axId val="302544400"/>
      </c:barChart>
      <c:catAx>
        <c:axId val="30254832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4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5444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83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545576"/>
        <c:axId val="302546360"/>
      </c:barChart>
      <c:catAx>
        <c:axId val="302545576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August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636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546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55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542048"/>
        <c:axId val="302541656"/>
      </c:barChart>
      <c:catAx>
        <c:axId val="30254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1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2541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5420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22</xdr:row>
          <xdr:rowOff>66675</xdr:rowOff>
        </xdr:from>
        <xdr:to>
          <xdr:col>6</xdr:col>
          <xdr:colOff>476250</xdr:colOff>
          <xdr:row>23</xdr:row>
          <xdr:rowOff>38100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39</xdr:row>
          <xdr:rowOff>161925</xdr:rowOff>
        </xdr:from>
        <xdr:to>
          <xdr:col>6</xdr:col>
          <xdr:colOff>428625</xdr:colOff>
          <xdr:row>40</xdr:row>
          <xdr:rowOff>276225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41</xdr:row>
          <xdr:rowOff>57150</xdr:rowOff>
        </xdr:from>
        <xdr:to>
          <xdr:col>6</xdr:col>
          <xdr:colOff>361950</xdr:colOff>
          <xdr:row>42</xdr:row>
          <xdr:rowOff>257175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485775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485775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30" t="str">
        <f>"AMOUNT OF FRUIT CONFISCATED AT " &amp; Location &amp; " (kg)"</f>
        <v>AMOUNT OF FRUIT CONFISCATED AT OODLA WIRRA (kg)</v>
      </c>
      <c r="C2" s="331"/>
      <c r="D2" s="331"/>
      <c r="E2" s="331"/>
      <c r="F2" s="331"/>
      <c r="G2" s="331"/>
      <c r="H2" s="331"/>
      <c r="I2" s="331"/>
      <c r="J2" s="332"/>
      <c r="K2" s="332"/>
      <c r="L2" s="333"/>
    </row>
    <row r="3" spans="2:13" ht="16.5" thickBot="1" x14ac:dyDescent="0.3">
      <c r="B3" s="334" t="str">
        <f>Month &amp;  " " &amp; Year</f>
        <v>August 2017</v>
      </c>
      <c r="C3" s="335"/>
      <c r="D3" s="335"/>
      <c r="E3" s="335"/>
      <c r="F3" s="335"/>
      <c r="G3" s="335"/>
      <c r="H3" s="335"/>
      <c r="I3" s="335"/>
      <c r="J3" s="336"/>
      <c r="K3" s="336"/>
      <c r="L3" s="337"/>
    </row>
    <row r="4" spans="2:13" s="50" customFormat="1" ht="49.5" customHeight="1" thickBot="1" x14ac:dyDescent="0.25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75" x14ac:dyDescent="0.25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5" thickBot="1" x14ac:dyDescent="0.3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75" x14ac:dyDescent="0.25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38" t="str">
        <f>"COMMERCIAL VEHICLES PASSING THROUGH " &amp; Location</f>
        <v>COMMERCIAL VEHICLES PASSING THROUGH OODLA WIRRA</v>
      </c>
      <c r="C2" s="339"/>
      <c r="D2" s="339"/>
      <c r="E2" s="339"/>
      <c r="F2" s="339"/>
      <c r="G2" s="339"/>
      <c r="H2" s="339"/>
      <c r="I2" s="340"/>
    </row>
    <row r="3" spans="2:9" ht="22.9" customHeight="1" thickBot="1" x14ac:dyDescent="0.25">
      <c r="B3" s="341" t="str">
        <f>Month &amp; " " &amp; Year</f>
        <v>August 2017</v>
      </c>
      <c r="C3" s="342"/>
      <c r="D3" s="342"/>
      <c r="E3" s="342"/>
      <c r="F3" s="342"/>
      <c r="G3" s="342"/>
      <c r="H3" s="342"/>
      <c r="I3" s="343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5" thickBot="1" x14ac:dyDescent="0.3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44" t="str">
        <f xml:space="preserve"> "CARS PASSING THROUGH " &amp; Location</f>
        <v>CARS PASSING THROUGH OODLA WIRRA</v>
      </c>
      <c r="C2" s="345"/>
      <c r="D2" s="345"/>
      <c r="E2" s="345"/>
      <c r="F2" s="345"/>
      <c r="G2" s="345"/>
      <c r="H2" s="345"/>
      <c r="I2" s="346"/>
    </row>
    <row r="3" spans="2:9" ht="18.75" thickBot="1" x14ac:dyDescent="0.25">
      <c r="B3" s="347" t="str">
        <f>Month &amp; " " &amp; Year</f>
        <v>August 2017</v>
      </c>
      <c r="C3" s="348"/>
      <c r="D3" s="348"/>
      <c r="E3" s="348"/>
      <c r="F3" s="348"/>
      <c r="G3" s="348"/>
      <c r="H3" s="348"/>
      <c r="I3" s="349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47" t="e">
        <f>#REF!&amp; " " &amp;#REF!</f>
        <v>#REF!</v>
      </c>
      <c r="B2" s="348"/>
      <c r="C2" s="348"/>
      <c r="D2" s="348"/>
      <c r="E2" s="348"/>
      <c r="F2" s="348"/>
      <c r="G2" s="348"/>
      <c r="H2" s="349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44" t="str">
        <f xml:space="preserve"> "CARAVANS &amp; CAMPERS PASSING THROUGH " &amp; Location</f>
        <v>CARAVANS &amp; CAMPERS PASSING THROUGH OODLA WIRRA</v>
      </c>
      <c r="C2" s="345"/>
      <c r="D2" s="345"/>
      <c r="E2" s="345"/>
      <c r="F2" s="345"/>
      <c r="G2" s="345"/>
      <c r="H2" s="345"/>
      <c r="I2" s="346"/>
    </row>
    <row r="3" spans="2:9" ht="18.75" thickBot="1" x14ac:dyDescent="0.25">
      <c r="B3" s="347" t="str">
        <f>Month &amp; " " &amp; Year</f>
        <v>August 2017</v>
      </c>
      <c r="C3" s="348"/>
      <c r="D3" s="348"/>
      <c r="E3" s="348"/>
      <c r="F3" s="348"/>
      <c r="G3" s="348"/>
      <c r="H3" s="348"/>
      <c r="I3" s="349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8" width="10.7109375" style="38" customWidth="1"/>
    <col min="9" max="9" width="12.7109375" style="38" customWidth="1"/>
    <col min="10" max="10" width="13.140625" style="38" customWidth="1"/>
    <col min="11" max="14" width="10.7109375" style="49" customWidth="1"/>
    <col min="15" max="16384" width="9.140625" style="38"/>
  </cols>
  <sheetData>
    <row r="1" spans="2:14" ht="15.75" thickBot="1" x14ac:dyDescent="0.25"/>
    <row r="2" spans="2:14" ht="15.75" x14ac:dyDescent="0.25">
      <c r="B2" s="344" t="str">
        <f>"VEHICLES PASSING THROUGH " &amp; Location &amp; " - MIDNIGHT SHIFT "</f>
        <v xml:space="preserve">VEHICLES PASSING THROUGH OODLA WIRRA - MIDNIGHT SHIFT 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50"/>
    </row>
    <row r="3" spans="2:14" ht="16.5" thickBot="1" x14ac:dyDescent="0.25">
      <c r="B3" s="341" t="str">
        <f>Month &amp; " " &amp; Year</f>
        <v>August 2017</v>
      </c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3"/>
    </row>
    <row r="4" spans="2:14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114</v>
      </c>
      <c r="J4" s="198" t="s">
        <v>113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21">
        <v>0</v>
      </c>
      <c r="I5" s="326">
        <f t="shared" ref="I5:I35" si="0">SUM(C5:H5)</f>
        <v>0</v>
      </c>
      <c r="J5" s="324">
        <v>0</v>
      </c>
      <c r="K5" s="41">
        <v>0</v>
      </c>
      <c r="L5" s="41">
        <v>0</v>
      </c>
      <c r="M5" s="324">
        <v>0</v>
      </c>
      <c r="N5" s="52">
        <v>0</v>
      </c>
    </row>
    <row r="6" spans="2:14" ht="15.75" x14ac:dyDescent="0.25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2">
        <v>0</v>
      </c>
      <c r="I6" s="327">
        <f t="shared" si="0"/>
        <v>0</v>
      </c>
      <c r="J6" s="325">
        <v>0</v>
      </c>
      <c r="K6" s="44">
        <v>0</v>
      </c>
      <c r="L6" s="320">
        <v>0</v>
      </c>
      <c r="M6" s="325">
        <v>0</v>
      </c>
      <c r="N6" s="53">
        <v>0</v>
      </c>
    </row>
    <row r="7" spans="2:14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2">
        <v>0</v>
      </c>
      <c r="I7" s="327">
        <f t="shared" si="0"/>
        <v>0</v>
      </c>
      <c r="J7" s="325">
        <v>0</v>
      </c>
      <c r="K7" s="44">
        <v>0</v>
      </c>
      <c r="L7" s="320">
        <v>0</v>
      </c>
      <c r="M7" s="325">
        <v>0</v>
      </c>
      <c r="N7" s="53">
        <v>0</v>
      </c>
    </row>
    <row r="8" spans="2:14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2">
        <v>0</v>
      </c>
      <c r="I8" s="327">
        <f t="shared" si="0"/>
        <v>0</v>
      </c>
      <c r="J8" s="325">
        <v>0</v>
      </c>
      <c r="K8" s="44">
        <v>0</v>
      </c>
      <c r="L8" s="320">
        <v>0</v>
      </c>
      <c r="M8" s="325">
        <v>0</v>
      </c>
      <c r="N8" s="53">
        <v>0</v>
      </c>
    </row>
    <row r="9" spans="2:14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2">
        <v>0</v>
      </c>
      <c r="I9" s="327">
        <f t="shared" si="0"/>
        <v>0</v>
      </c>
      <c r="J9" s="325">
        <v>0</v>
      </c>
      <c r="K9" s="44">
        <v>0</v>
      </c>
      <c r="L9" s="320">
        <v>0</v>
      </c>
      <c r="M9" s="325">
        <v>0</v>
      </c>
      <c r="N9" s="53">
        <v>0</v>
      </c>
    </row>
    <row r="10" spans="2:14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2">
        <v>0</v>
      </c>
      <c r="I10" s="327">
        <f t="shared" si="0"/>
        <v>0</v>
      </c>
      <c r="J10" s="325">
        <v>0</v>
      </c>
      <c r="K10" s="44">
        <v>0</v>
      </c>
      <c r="L10" s="320">
        <v>0</v>
      </c>
      <c r="M10" s="325">
        <v>0</v>
      </c>
      <c r="N10" s="53">
        <v>0</v>
      </c>
    </row>
    <row r="11" spans="2:14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2">
        <v>0</v>
      </c>
      <c r="I11" s="327">
        <f t="shared" si="0"/>
        <v>0</v>
      </c>
      <c r="J11" s="325">
        <v>0</v>
      </c>
      <c r="K11" s="44">
        <v>0</v>
      </c>
      <c r="L11" s="320">
        <v>0</v>
      </c>
      <c r="M11" s="325">
        <v>0</v>
      </c>
      <c r="N11" s="53">
        <v>0</v>
      </c>
    </row>
    <row r="12" spans="2:14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2">
        <v>0</v>
      </c>
      <c r="I12" s="327">
        <f t="shared" si="0"/>
        <v>0</v>
      </c>
      <c r="J12" s="325">
        <v>0</v>
      </c>
      <c r="K12" s="44">
        <v>0</v>
      </c>
      <c r="L12" s="320">
        <v>0</v>
      </c>
      <c r="M12" s="325">
        <v>0</v>
      </c>
      <c r="N12" s="53">
        <v>0</v>
      </c>
    </row>
    <row r="13" spans="2:14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2">
        <v>0</v>
      </c>
      <c r="I13" s="327">
        <f t="shared" si="0"/>
        <v>0</v>
      </c>
      <c r="J13" s="325">
        <v>0</v>
      </c>
      <c r="K13" s="44">
        <v>0</v>
      </c>
      <c r="L13" s="320">
        <v>0</v>
      </c>
      <c r="M13" s="325">
        <v>0</v>
      </c>
      <c r="N13" s="53">
        <v>0</v>
      </c>
    </row>
    <row r="14" spans="2:14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2">
        <v>0</v>
      </c>
      <c r="I14" s="327">
        <f t="shared" si="0"/>
        <v>0</v>
      </c>
      <c r="J14" s="325">
        <v>0</v>
      </c>
      <c r="K14" s="44">
        <v>0</v>
      </c>
      <c r="L14" s="320">
        <v>0</v>
      </c>
      <c r="M14" s="325">
        <v>0</v>
      </c>
      <c r="N14" s="53">
        <v>0</v>
      </c>
    </row>
    <row r="15" spans="2:14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2">
        <v>0</v>
      </c>
      <c r="I15" s="327">
        <f t="shared" si="0"/>
        <v>0</v>
      </c>
      <c r="J15" s="325">
        <v>0</v>
      </c>
      <c r="K15" s="44">
        <v>0</v>
      </c>
      <c r="L15" s="320">
        <v>0</v>
      </c>
      <c r="M15" s="325">
        <v>0</v>
      </c>
      <c r="N15" s="53">
        <v>0</v>
      </c>
    </row>
    <row r="16" spans="2:14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2">
        <v>0</v>
      </c>
      <c r="I16" s="327">
        <f t="shared" si="0"/>
        <v>0</v>
      </c>
      <c r="J16" s="325">
        <v>0</v>
      </c>
      <c r="K16" s="44">
        <v>0</v>
      </c>
      <c r="L16" s="320">
        <v>0</v>
      </c>
      <c r="M16" s="325">
        <v>0</v>
      </c>
      <c r="N16" s="53">
        <v>0</v>
      </c>
    </row>
    <row r="17" spans="2:14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2">
        <v>0</v>
      </c>
      <c r="I17" s="327">
        <f t="shared" si="0"/>
        <v>0</v>
      </c>
      <c r="J17" s="325">
        <v>0</v>
      </c>
      <c r="K17" s="44">
        <v>0</v>
      </c>
      <c r="L17" s="320">
        <v>0</v>
      </c>
      <c r="M17" s="325">
        <v>0</v>
      </c>
      <c r="N17" s="53">
        <v>0</v>
      </c>
    </row>
    <row r="18" spans="2:14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2">
        <v>0</v>
      </c>
      <c r="I18" s="327">
        <f t="shared" si="0"/>
        <v>0</v>
      </c>
      <c r="J18" s="325">
        <v>0</v>
      </c>
      <c r="K18" s="44">
        <v>0</v>
      </c>
      <c r="L18" s="320">
        <v>0</v>
      </c>
      <c r="M18" s="325">
        <v>0</v>
      </c>
      <c r="N18" s="53">
        <v>0</v>
      </c>
    </row>
    <row r="19" spans="2:14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2">
        <v>0</v>
      </c>
      <c r="I19" s="327">
        <f t="shared" si="0"/>
        <v>0</v>
      </c>
      <c r="J19" s="325">
        <v>0</v>
      </c>
      <c r="K19" s="44">
        <v>0</v>
      </c>
      <c r="L19" s="320">
        <v>0</v>
      </c>
      <c r="M19" s="325">
        <v>0</v>
      </c>
      <c r="N19" s="53">
        <v>0</v>
      </c>
    </row>
    <row r="20" spans="2:14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2">
        <v>0</v>
      </c>
      <c r="I20" s="327">
        <f t="shared" si="0"/>
        <v>0</v>
      </c>
      <c r="J20" s="325">
        <v>0</v>
      </c>
      <c r="K20" s="44">
        <v>0</v>
      </c>
      <c r="L20" s="320">
        <v>0</v>
      </c>
      <c r="M20" s="325">
        <v>0</v>
      </c>
      <c r="N20" s="53">
        <v>0</v>
      </c>
    </row>
    <row r="21" spans="2:14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2">
        <v>0</v>
      </c>
      <c r="I21" s="327">
        <f t="shared" si="0"/>
        <v>0</v>
      </c>
      <c r="J21" s="325">
        <v>0</v>
      </c>
      <c r="K21" s="44">
        <v>0</v>
      </c>
      <c r="L21" s="320">
        <v>0</v>
      </c>
      <c r="M21" s="325">
        <v>0</v>
      </c>
      <c r="N21" s="53">
        <v>0</v>
      </c>
    </row>
    <row r="22" spans="2:14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2">
        <v>0</v>
      </c>
      <c r="I22" s="327">
        <f t="shared" si="0"/>
        <v>0</v>
      </c>
      <c r="J22" s="325">
        <v>0</v>
      </c>
      <c r="K22" s="44">
        <v>0</v>
      </c>
      <c r="L22" s="320">
        <v>0</v>
      </c>
      <c r="M22" s="325">
        <v>0</v>
      </c>
      <c r="N22" s="53">
        <v>0</v>
      </c>
    </row>
    <row r="23" spans="2:14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2">
        <v>0</v>
      </c>
      <c r="I23" s="327">
        <f t="shared" si="0"/>
        <v>0</v>
      </c>
      <c r="J23" s="325">
        <v>0</v>
      </c>
      <c r="K23" s="44">
        <v>0</v>
      </c>
      <c r="L23" s="320">
        <v>0</v>
      </c>
      <c r="M23" s="325">
        <v>0</v>
      </c>
      <c r="N23" s="53">
        <v>0</v>
      </c>
    </row>
    <row r="24" spans="2:14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2">
        <v>0</v>
      </c>
      <c r="I24" s="327">
        <f t="shared" si="0"/>
        <v>0</v>
      </c>
      <c r="J24" s="325">
        <v>0</v>
      </c>
      <c r="K24" s="44">
        <v>0</v>
      </c>
      <c r="L24" s="320">
        <v>0</v>
      </c>
      <c r="M24" s="325">
        <v>0</v>
      </c>
      <c r="N24" s="53">
        <v>0</v>
      </c>
    </row>
    <row r="25" spans="2:14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2">
        <v>0</v>
      </c>
      <c r="I25" s="327">
        <f t="shared" si="0"/>
        <v>0</v>
      </c>
      <c r="J25" s="325">
        <v>0</v>
      </c>
      <c r="K25" s="44">
        <v>0</v>
      </c>
      <c r="L25" s="320">
        <v>0</v>
      </c>
      <c r="M25" s="325">
        <v>0</v>
      </c>
      <c r="N25" s="53">
        <v>0</v>
      </c>
    </row>
    <row r="26" spans="2:14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2">
        <v>0</v>
      </c>
      <c r="I26" s="327">
        <f t="shared" si="0"/>
        <v>0</v>
      </c>
      <c r="J26" s="325">
        <v>0</v>
      </c>
      <c r="K26" s="44">
        <v>0</v>
      </c>
      <c r="L26" s="320">
        <v>0</v>
      </c>
      <c r="M26" s="325">
        <v>0</v>
      </c>
      <c r="N26" s="53">
        <v>0</v>
      </c>
    </row>
    <row r="27" spans="2:14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2">
        <v>0</v>
      </c>
      <c r="I27" s="327">
        <f t="shared" si="0"/>
        <v>0</v>
      </c>
      <c r="J27" s="325">
        <v>0</v>
      </c>
      <c r="K27" s="44">
        <v>0</v>
      </c>
      <c r="L27" s="320">
        <v>0</v>
      </c>
      <c r="M27" s="325">
        <v>0</v>
      </c>
      <c r="N27" s="53">
        <v>0</v>
      </c>
    </row>
    <row r="28" spans="2:14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2">
        <v>0</v>
      </c>
      <c r="I28" s="327">
        <f t="shared" si="0"/>
        <v>0</v>
      </c>
      <c r="J28" s="325">
        <v>0</v>
      </c>
      <c r="K28" s="44">
        <v>0</v>
      </c>
      <c r="L28" s="320">
        <v>0</v>
      </c>
      <c r="M28" s="325">
        <v>0</v>
      </c>
      <c r="N28" s="53">
        <v>0</v>
      </c>
    </row>
    <row r="29" spans="2:14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2">
        <v>0</v>
      </c>
      <c r="I29" s="327">
        <f t="shared" si="0"/>
        <v>0</v>
      </c>
      <c r="J29" s="325">
        <v>0</v>
      </c>
      <c r="K29" s="44">
        <v>0</v>
      </c>
      <c r="L29" s="320">
        <v>0</v>
      </c>
      <c r="M29" s="325">
        <v>0</v>
      </c>
      <c r="N29" s="53">
        <v>0</v>
      </c>
    </row>
    <row r="30" spans="2:14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2">
        <v>0</v>
      </c>
      <c r="I30" s="327">
        <f t="shared" si="0"/>
        <v>0</v>
      </c>
      <c r="J30" s="325">
        <v>0</v>
      </c>
      <c r="K30" s="44">
        <v>0</v>
      </c>
      <c r="L30" s="320">
        <v>0</v>
      </c>
      <c r="M30" s="325">
        <v>0</v>
      </c>
      <c r="N30" s="53">
        <v>0</v>
      </c>
    </row>
    <row r="31" spans="2:14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2">
        <v>0</v>
      </c>
      <c r="I31" s="327">
        <f t="shared" si="0"/>
        <v>0</v>
      </c>
      <c r="J31" s="325">
        <v>0</v>
      </c>
      <c r="K31" s="44">
        <v>0</v>
      </c>
      <c r="L31" s="320">
        <v>0</v>
      </c>
      <c r="M31" s="325">
        <v>0</v>
      </c>
      <c r="N31" s="53">
        <v>0</v>
      </c>
    </row>
    <row r="32" spans="2:14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2">
        <v>0</v>
      </c>
      <c r="I32" s="327">
        <f t="shared" si="0"/>
        <v>0</v>
      </c>
      <c r="J32" s="325">
        <v>0</v>
      </c>
      <c r="K32" s="44">
        <v>0</v>
      </c>
      <c r="L32" s="320">
        <v>0</v>
      </c>
      <c r="M32" s="325">
        <v>0</v>
      </c>
      <c r="N32" s="53">
        <v>0</v>
      </c>
    </row>
    <row r="33" spans="2:14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2">
        <v>0</v>
      </c>
      <c r="I33" s="327">
        <f t="shared" si="0"/>
        <v>0</v>
      </c>
      <c r="J33" s="325">
        <v>0</v>
      </c>
      <c r="K33" s="44">
        <v>0</v>
      </c>
      <c r="L33" s="320">
        <v>0</v>
      </c>
      <c r="M33" s="325">
        <v>0</v>
      </c>
      <c r="N33" s="53">
        <v>0</v>
      </c>
    </row>
    <row r="34" spans="2:14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2">
        <v>0</v>
      </c>
      <c r="I34" s="327">
        <f t="shared" si="0"/>
        <v>0</v>
      </c>
      <c r="J34" s="325">
        <v>0</v>
      </c>
      <c r="K34" s="44">
        <v>0</v>
      </c>
      <c r="L34" s="320">
        <v>0</v>
      </c>
      <c r="M34" s="325">
        <v>0</v>
      </c>
      <c r="N34" s="53">
        <v>0</v>
      </c>
    </row>
    <row r="35" spans="2:14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3">
        <v>0</v>
      </c>
      <c r="I35" s="328">
        <f t="shared" si="0"/>
        <v>0</v>
      </c>
      <c r="J35" s="325">
        <v>0</v>
      </c>
      <c r="K35" s="46">
        <v>0</v>
      </c>
      <c r="L35" s="46">
        <v>0</v>
      </c>
      <c r="M35" s="329">
        <v>0</v>
      </c>
      <c r="N35" s="54">
        <v>0</v>
      </c>
    </row>
    <row r="36" spans="2:14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75" thickBot="1" x14ac:dyDescent="0.25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">
      <c r="C38" s="49"/>
      <c r="D38" s="49"/>
      <c r="E38" s="49"/>
      <c r="F38" s="49"/>
      <c r="G38" s="49"/>
      <c r="H38" s="49"/>
      <c r="I38" s="49"/>
      <c r="J38" s="49"/>
    </row>
    <row r="39" spans="2:14" x14ac:dyDescent="0.2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">
      <c r="C40" s="49"/>
      <c r="D40" s="49"/>
      <c r="E40" s="49"/>
      <c r="F40" s="49"/>
      <c r="G40" s="49"/>
      <c r="H40" s="49"/>
      <c r="I40" s="49"/>
      <c r="J40" s="49"/>
    </row>
    <row r="41" spans="2:14" x14ac:dyDescent="0.2">
      <c r="C41" s="49"/>
      <c r="D41" s="49"/>
      <c r="E41" s="49"/>
      <c r="F41" s="49"/>
      <c r="G41" s="49"/>
      <c r="H41" s="49"/>
      <c r="I41" s="49"/>
      <c r="J41" s="49"/>
    </row>
    <row r="42" spans="2:14" x14ac:dyDescent="0.2">
      <c r="C42" s="49"/>
      <c r="D42" s="49"/>
      <c r="E42" s="49"/>
      <c r="F42" s="49"/>
      <c r="G42" s="49"/>
      <c r="H42" s="49"/>
      <c r="I42" s="49"/>
      <c r="J42" s="49"/>
    </row>
    <row r="43" spans="2:14" x14ac:dyDescent="0.2">
      <c r="C43" s="49"/>
      <c r="D43" s="49"/>
      <c r="E43" s="49"/>
      <c r="F43" s="49"/>
      <c r="G43" s="49"/>
      <c r="H43" s="49"/>
      <c r="I43" s="49"/>
      <c r="J43" s="49"/>
    </row>
    <row r="44" spans="2:14" x14ac:dyDescent="0.2">
      <c r="C44" s="49"/>
      <c r="D44" s="49"/>
      <c r="E44" s="49"/>
      <c r="F44" s="49"/>
      <c r="G44" s="49"/>
      <c r="H44" s="49"/>
      <c r="I44" s="49"/>
      <c r="J44" s="49"/>
    </row>
    <row r="45" spans="2:14" x14ac:dyDescent="0.2">
      <c r="C45" s="49"/>
      <c r="D45" s="49"/>
      <c r="E45" s="49"/>
      <c r="F45" s="49"/>
      <c r="G45" s="49"/>
      <c r="H45" s="49"/>
      <c r="I45" s="49"/>
      <c r="J45" s="49"/>
    </row>
    <row r="46" spans="2:14" x14ac:dyDescent="0.2">
      <c r="C46" s="49"/>
      <c r="D46" s="49"/>
      <c r="E46" s="49"/>
      <c r="F46" s="49"/>
      <c r="G46" s="49"/>
      <c r="H46" s="49"/>
      <c r="I46" s="49"/>
      <c r="J46" s="49"/>
    </row>
    <row r="47" spans="2:14" x14ac:dyDescent="0.2">
      <c r="C47" s="49"/>
      <c r="D47" s="49"/>
      <c r="E47" s="49"/>
      <c r="F47" s="49"/>
      <c r="G47" s="49"/>
      <c r="H47" s="49"/>
      <c r="I47" s="49"/>
      <c r="J47" s="49"/>
    </row>
    <row r="48" spans="2:14" x14ac:dyDescent="0.2">
      <c r="C48" s="49"/>
      <c r="D48" s="49"/>
      <c r="E48" s="49"/>
      <c r="F48" s="49"/>
      <c r="G48" s="49"/>
      <c r="H48" s="49"/>
      <c r="I48" s="49"/>
      <c r="J48" s="49"/>
    </row>
    <row r="49" spans="3:10" x14ac:dyDescent="0.2">
      <c r="C49" s="49"/>
      <c r="D49" s="49"/>
      <c r="E49" s="49"/>
      <c r="F49" s="49"/>
      <c r="G49" s="49"/>
      <c r="H49" s="49"/>
      <c r="I49" s="49"/>
      <c r="J49" s="49"/>
    </row>
    <row r="50" spans="3:10" x14ac:dyDescent="0.2">
      <c r="C50" s="49"/>
      <c r="D50" s="49"/>
      <c r="E50" s="49"/>
      <c r="F50" s="49"/>
      <c r="G50" s="49"/>
      <c r="H50" s="49"/>
      <c r="I50" s="49"/>
      <c r="J50" s="49"/>
    </row>
    <row r="51" spans="3:10" x14ac:dyDescent="0.2">
      <c r="C51" s="49"/>
      <c r="D51" s="49"/>
      <c r="E51" s="49"/>
      <c r="F51" s="49"/>
      <c r="G51" s="49"/>
      <c r="H51" s="49"/>
      <c r="I51" s="49"/>
      <c r="J51" s="49"/>
    </row>
    <row r="52" spans="3:10" x14ac:dyDescent="0.2">
      <c r="C52" s="49"/>
      <c r="D52" s="49"/>
      <c r="E52" s="49"/>
      <c r="F52" s="49"/>
      <c r="G52" s="49"/>
      <c r="H52" s="49"/>
      <c r="I52" s="49"/>
      <c r="J52" s="49"/>
    </row>
    <row r="53" spans="3:10" x14ac:dyDescent="0.2">
      <c r="C53" s="49"/>
      <c r="D53" s="49"/>
      <c r="E53" s="49"/>
      <c r="F53" s="49"/>
      <c r="G53" s="49"/>
      <c r="H53" s="49"/>
      <c r="I53" s="49"/>
      <c r="J53" s="49"/>
    </row>
    <row r="54" spans="3:10" x14ac:dyDescent="0.2">
      <c r="C54" s="49"/>
      <c r="D54" s="49"/>
      <c r="E54" s="49"/>
      <c r="F54" s="49"/>
      <c r="G54" s="49"/>
      <c r="H54" s="49"/>
      <c r="I54" s="49"/>
      <c r="J54" s="49"/>
    </row>
    <row r="55" spans="3:10" x14ac:dyDescent="0.2">
      <c r="C55" s="49"/>
      <c r="D55" s="49"/>
      <c r="E55" s="49"/>
      <c r="F55" s="49"/>
      <c r="G55" s="49"/>
      <c r="H55" s="49"/>
      <c r="I55" s="49"/>
      <c r="J55" s="49"/>
    </row>
    <row r="56" spans="3:10" x14ac:dyDescent="0.2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51" t="str">
        <f>Location&amp;" - Traffic Volumes per Shift - "&amp; Month &amp; " " &amp; Year</f>
        <v>OODLA WIRRA - Traffic Volumes per Shift - August 2017</v>
      </c>
      <c r="E3" s="352"/>
      <c r="F3" s="353"/>
      <c r="G3" s="353"/>
      <c r="H3" s="353"/>
      <c r="I3" s="354"/>
    </row>
    <row r="4" spans="4:9" ht="18.75" thickBot="1" x14ac:dyDescent="0.25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</row>
    <row r="5" spans="4:9" ht="15" x14ac:dyDescent="0.2">
      <c r="D5" s="277">
        <f>DATE(Year,MONTH(1&amp;Month),1)</f>
        <v>42948</v>
      </c>
      <c r="E5" s="280">
        <v>1</v>
      </c>
      <c r="F5" s="285">
        <v>0</v>
      </c>
      <c r="G5" s="286">
        <v>0</v>
      </c>
      <c r="H5" s="287">
        <v>0</v>
      </c>
      <c r="I5" s="282">
        <f>SUM(F5:H5)</f>
        <v>0</v>
      </c>
    </row>
    <row r="6" spans="4:9" ht="15" x14ac:dyDescent="0.2">
      <c r="D6" s="278">
        <f>D5+1</f>
        <v>42949</v>
      </c>
      <c r="E6" s="281">
        <v>2</v>
      </c>
      <c r="F6" s="288">
        <v>0</v>
      </c>
      <c r="G6" s="271">
        <v>0</v>
      </c>
      <c r="H6" s="289">
        <v>0</v>
      </c>
      <c r="I6" s="283">
        <f t="shared" ref="I6:I35" si="0">SUM(F6:H6)</f>
        <v>0</v>
      </c>
    </row>
    <row r="7" spans="4:9" ht="15" x14ac:dyDescent="0.2">
      <c r="D7" s="278">
        <f>D6+1</f>
        <v>42950</v>
      </c>
      <c r="E7" s="281">
        <v>3</v>
      </c>
      <c r="F7" s="288">
        <v>0</v>
      </c>
      <c r="G7" s="271">
        <v>0</v>
      </c>
      <c r="H7" s="289">
        <v>0</v>
      </c>
      <c r="I7" s="283">
        <f t="shared" si="0"/>
        <v>0</v>
      </c>
    </row>
    <row r="8" spans="4:9" ht="15" x14ac:dyDescent="0.2">
      <c r="D8" s="278">
        <f t="shared" ref="D8:D35" si="1">D7+1</f>
        <v>42951</v>
      </c>
      <c r="E8" s="281">
        <v>4</v>
      </c>
      <c r="F8" s="288">
        <v>0</v>
      </c>
      <c r="G8" s="271">
        <v>0</v>
      </c>
      <c r="H8" s="289">
        <v>0</v>
      </c>
      <c r="I8" s="283">
        <f t="shared" si="0"/>
        <v>0</v>
      </c>
    </row>
    <row r="9" spans="4:9" ht="15" x14ac:dyDescent="0.2">
      <c r="D9" s="278">
        <f t="shared" si="1"/>
        <v>42952</v>
      </c>
      <c r="E9" s="281">
        <v>5</v>
      </c>
      <c r="F9" s="288">
        <v>0</v>
      </c>
      <c r="G9" s="271">
        <v>0</v>
      </c>
      <c r="H9" s="289">
        <v>0</v>
      </c>
      <c r="I9" s="283">
        <f t="shared" si="0"/>
        <v>0</v>
      </c>
    </row>
    <row r="10" spans="4:9" ht="15" x14ac:dyDescent="0.2">
      <c r="D10" s="278">
        <f t="shared" si="1"/>
        <v>42953</v>
      </c>
      <c r="E10" s="281">
        <v>6</v>
      </c>
      <c r="F10" s="288">
        <v>0</v>
      </c>
      <c r="G10" s="271">
        <v>0</v>
      </c>
      <c r="H10" s="289">
        <v>0</v>
      </c>
      <c r="I10" s="283">
        <f t="shared" si="0"/>
        <v>0</v>
      </c>
    </row>
    <row r="11" spans="4:9" ht="15" x14ac:dyDescent="0.2">
      <c r="D11" s="278">
        <f t="shared" si="1"/>
        <v>42954</v>
      </c>
      <c r="E11" s="281">
        <v>7</v>
      </c>
      <c r="F11" s="288">
        <v>0</v>
      </c>
      <c r="G11" s="271">
        <v>0</v>
      </c>
      <c r="H11" s="289">
        <v>0</v>
      </c>
      <c r="I11" s="283">
        <f t="shared" si="0"/>
        <v>0</v>
      </c>
    </row>
    <row r="12" spans="4:9" ht="15" x14ac:dyDescent="0.2">
      <c r="D12" s="278">
        <f t="shared" si="1"/>
        <v>42955</v>
      </c>
      <c r="E12" s="281">
        <v>8</v>
      </c>
      <c r="F12" s="288">
        <v>0</v>
      </c>
      <c r="G12" s="271">
        <v>0</v>
      </c>
      <c r="H12" s="289">
        <v>0</v>
      </c>
      <c r="I12" s="283">
        <f t="shared" si="0"/>
        <v>0</v>
      </c>
    </row>
    <row r="13" spans="4:9" ht="15" x14ac:dyDescent="0.2">
      <c r="D13" s="278">
        <f t="shared" si="1"/>
        <v>42956</v>
      </c>
      <c r="E13" s="281">
        <v>9</v>
      </c>
      <c r="F13" s="288">
        <v>0</v>
      </c>
      <c r="G13" s="271">
        <v>0</v>
      </c>
      <c r="H13" s="289">
        <v>0</v>
      </c>
      <c r="I13" s="283">
        <f t="shared" si="0"/>
        <v>0</v>
      </c>
    </row>
    <row r="14" spans="4:9" ht="15" x14ac:dyDescent="0.2">
      <c r="D14" s="278">
        <f t="shared" si="1"/>
        <v>42957</v>
      </c>
      <c r="E14" s="281">
        <v>10</v>
      </c>
      <c r="F14" s="288">
        <v>0</v>
      </c>
      <c r="G14" s="271">
        <v>0</v>
      </c>
      <c r="H14" s="289">
        <v>0</v>
      </c>
      <c r="I14" s="283">
        <f t="shared" si="0"/>
        <v>0</v>
      </c>
    </row>
    <row r="15" spans="4:9" ht="15" x14ac:dyDescent="0.2">
      <c r="D15" s="278">
        <f t="shared" si="1"/>
        <v>42958</v>
      </c>
      <c r="E15" s="281">
        <v>11</v>
      </c>
      <c r="F15" s="288">
        <v>0</v>
      </c>
      <c r="G15" s="271">
        <v>0</v>
      </c>
      <c r="H15" s="289">
        <v>0</v>
      </c>
      <c r="I15" s="283">
        <f t="shared" si="0"/>
        <v>0</v>
      </c>
    </row>
    <row r="16" spans="4:9" ht="15" x14ac:dyDescent="0.2">
      <c r="D16" s="278">
        <f t="shared" si="1"/>
        <v>42959</v>
      </c>
      <c r="E16" s="281">
        <v>12</v>
      </c>
      <c r="F16" s="288">
        <v>0</v>
      </c>
      <c r="G16" s="271">
        <v>0</v>
      </c>
      <c r="H16" s="289">
        <v>0</v>
      </c>
      <c r="I16" s="283">
        <f t="shared" si="0"/>
        <v>0</v>
      </c>
    </row>
    <row r="17" spans="4:9" ht="15" x14ac:dyDescent="0.2">
      <c r="D17" s="278">
        <f t="shared" si="1"/>
        <v>42960</v>
      </c>
      <c r="E17" s="281">
        <v>13</v>
      </c>
      <c r="F17" s="288">
        <v>0</v>
      </c>
      <c r="G17" s="271">
        <v>0</v>
      </c>
      <c r="H17" s="289">
        <v>0</v>
      </c>
      <c r="I17" s="283">
        <f t="shared" si="0"/>
        <v>0</v>
      </c>
    </row>
    <row r="18" spans="4:9" ht="15" x14ac:dyDescent="0.2">
      <c r="D18" s="278">
        <f t="shared" si="1"/>
        <v>42961</v>
      </c>
      <c r="E18" s="281">
        <v>14</v>
      </c>
      <c r="F18" s="288">
        <v>0</v>
      </c>
      <c r="G18" s="271">
        <v>0</v>
      </c>
      <c r="H18" s="289">
        <v>0</v>
      </c>
      <c r="I18" s="283">
        <f t="shared" si="0"/>
        <v>0</v>
      </c>
    </row>
    <row r="19" spans="4:9" ht="15" x14ac:dyDescent="0.2">
      <c r="D19" s="278">
        <f t="shared" si="1"/>
        <v>42962</v>
      </c>
      <c r="E19" s="281">
        <v>15</v>
      </c>
      <c r="F19" s="288">
        <v>0</v>
      </c>
      <c r="G19" s="271">
        <v>0</v>
      </c>
      <c r="H19" s="289">
        <v>0</v>
      </c>
      <c r="I19" s="283">
        <f t="shared" si="0"/>
        <v>0</v>
      </c>
    </row>
    <row r="20" spans="4:9" ht="15" x14ac:dyDescent="0.2">
      <c r="D20" s="278">
        <f t="shared" si="1"/>
        <v>42963</v>
      </c>
      <c r="E20" s="281">
        <v>16</v>
      </c>
      <c r="F20" s="288">
        <v>0</v>
      </c>
      <c r="G20" s="271">
        <v>0</v>
      </c>
      <c r="H20" s="289">
        <v>0</v>
      </c>
      <c r="I20" s="283">
        <f t="shared" si="0"/>
        <v>0</v>
      </c>
    </row>
    <row r="21" spans="4:9" ht="15" x14ac:dyDescent="0.2">
      <c r="D21" s="278">
        <f t="shared" si="1"/>
        <v>42964</v>
      </c>
      <c r="E21" s="281">
        <v>17</v>
      </c>
      <c r="F21" s="288">
        <v>0</v>
      </c>
      <c r="G21" s="271">
        <v>0</v>
      </c>
      <c r="H21" s="289">
        <v>0</v>
      </c>
      <c r="I21" s="283">
        <f t="shared" si="0"/>
        <v>0</v>
      </c>
    </row>
    <row r="22" spans="4:9" ht="15" x14ac:dyDescent="0.2">
      <c r="D22" s="278">
        <f t="shared" si="1"/>
        <v>42965</v>
      </c>
      <c r="E22" s="281">
        <v>18</v>
      </c>
      <c r="F22" s="288">
        <v>0</v>
      </c>
      <c r="G22" s="271">
        <v>0</v>
      </c>
      <c r="H22" s="289">
        <v>0</v>
      </c>
      <c r="I22" s="283">
        <f t="shared" si="0"/>
        <v>0</v>
      </c>
    </row>
    <row r="23" spans="4:9" ht="15" x14ac:dyDescent="0.2">
      <c r="D23" s="278">
        <f t="shared" si="1"/>
        <v>42966</v>
      </c>
      <c r="E23" s="281">
        <v>19</v>
      </c>
      <c r="F23" s="288">
        <v>0</v>
      </c>
      <c r="G23" s="271">
        <v>0</v>
      </c>
      <c r="H23" s="289">
        <v>0</v>
      </c>
      <c r="I23" s="283">
        <f t="shared" si="0"/>
        <v>0</v>
      </c>
    </row>
    <row r="24" spans="4:9" ht="15" x14ac:dyDescent="0.2">
      <c r="D24" s="278">
        <f t="shared" si="1"/>
        <v>42967</v>
      </c>
      <c r="E24" s="281">
        <v>20</v>
      </c>
      <c r="F24" s="288">
        <v>0</v>
      </c>
      <c r="G24" s="271">
        <v>0</v>
      </c>
      <c r="H24" s="289">
        <v>0</v>
      </c>
      <c r="I24" s="283">
        <f t="shared" si="0"/>
        <v>0</v>
      </c>
    </row>
    <row r="25" spans="4:9" ht="15" x14ac:dyDescent="0.2">
      <c r="D25" s="278">
        <f t="shared" si="1"/>
        <v>42968</v>
      </c>
      <c r="E25" s="281">
        <v>21</v>
      </c>
      <c r="F25" s="288">
        <v>0</v>
      </c>
      <c r="G25" s="271">
        <v>0</v>
      </c>
      <c r="H25" s="289">
        <v>0</v>
      </c>
      <c r="I25" s="283">
        <f t="shared" si="0"/>
        <v>0</v>
      </c>
    </row>
    <row r="26" spans="4:9" ht="15" x14ac:dyDescent="0.2">
      <c r="D26" s="278">
        <f t="shared" si="1"/>
        <v>42969</v>
      </c>
      <c r="E26" s="281">
        <v>22</v>
      </c>
      <c r="F26" s="288">
        <v>0</v>
      </c>
      <c r="G26" s="271">
        <v>0</v>
      </c>
      <c r="H26" s="289">
        <v>0</v>
      </c>
      <c r="I26" s="283">
        <f t="shared" si="0"/>
        <v>0</v>
      </c>
    </row>
    <row r="27" spans="4:9" ht="15" x14ac:dyDescent="0.2">
      <c r="D27" s="278">
        <f t="shared" si="1"/>
        <v>42970</v>
      </c>
      <c r="E27" s="281">
        <v>23</v>
      </c>
      <c r="F27" s="288">
        <v>0</v>
      </c>
      <c r="G27" s="271">
        <v>0</v>
      </c>
      <c r="H27" s="289">
        <v>0</v>
      </c>
      <c r="I27" s="283">
        <f t="shared" si="0"/>
        <v>0</v>
      </c>
    </row>
    <row r="28" spans="4:9" ht="15" x14ac:dyDescent="0.2">
      <c r="D28" s="278">
        <f t="shared" si="1"/>
        <v>42971</v>
      </c>
      <c r="E28" s="281">
        <v>24</v>
      </c>
      <c r="F28" s="288">
        <v>0</v>
      </c>
      <c r="G28" s="271">
        <v>0</v>
      </c>
      <c r="H28" s="289">
        <v>0</v>
      </c>
      <c r="I28" s="283">
        <f t="shared" si="0"/>
        <v>0</v>
      </c>
    </row>
    <row r="29" spans="4:9" ht="15" x14ac:dyDescent="0.2">
      <c r="D29" s="278">
        <f t="shared" si="1"/>
        <v>42972</v>
      </c>
      <c r="E29" s="281">
        <v>25</v>
      </c>
      <c r="F29" s="288">
        <v>0</v>
      </c>
      <c r="G29" s="271">
        <v>0</v>
      </c>
      <c r="H29" s="289">
        <v>0</v>
      </c>
      <c r="I29" s="283">
        <f t="shared" si="0"/>
        <v>0</v>
      </c>
    </row>
    <row r="30" spans="4:9" ht="15" x14ac:dyDescent="0.2">
      <c r="D30" s="278">
        <f t="shared" si="1"/>
        <v>42973</v>
      </c>
      <c r="E30" s="281">
        <v>26</v>
      </c>
      <c r="F30" s="288">
        <v>0</v>
      </c>
      <c r="G30" s="271">
        <v>0</v>
      </c>
      <c r="H30" s="289">
        <v>0</v>
      </c>
      <c r="I30" s="283">
        <f t="shared" si="0"/>
        <v>0</v>
      </c>
    </row>
    <row r="31" spans="4:9" ht="15" x14ac:dyDescent="0.2">
      <c r="D31" s="278">
        <f t="shared" si="1"/>
        <v>42974</v>
      </c>
      <c r="E31" s="281">
        <v>27</v>
      </c>
      <c r="F31" s="288">
        <v>0</v>
      </c>
      <c r="G31" s="271">
        <v>0</v>
      </c>
      <c r="H31" s="289">
        <v>0</v>
      </c>
      <c r="I31" s="283">
        <f t="shared" si="0"/>
        <v>0</v>
      </c>
    </row>
    <row r="32" spans="4:9" ht="15" x14ac:dyDescent="0.2">
      <c r="D32" s="278">
        <f t="shared" si="1"/>
        <v>42975</v>
      </c>
      <c r="E32" s="281">
        <v>28</v>
      </c>
      <c r="F32" s="288">
        <v>0</v>
      </c>
      <c r="G32" s="271">
        <v>0</v>
      </c>
      <c r="H32" s="289">
        <v>0</v>
      </c>
      <c r="I32" s="283">
        <f t="shared" si="0"/>
        <v>0</v>
      </c>
    </row>
    <row r="33" spans="4:9" ht="15" x14ac:dyDescent="0.2">
      <c r="D33" s="278">
        <f t="shared" si="1"/>
        <v>42976</v>
      </c>
      <c r="E33" s="281">
        <v>29</v>
      </c>
      <c r="F33" s="288">
        <v>0</v>
      </c>
      <c r="G33" s="271">
        <v>0</v>
      </c>
      <c r="H33" s="289">
        <v>0</v>
      </c>
      <c r="I33" s="283">
        <f t="shared" si="0"/>
        <v>0</v>
      </c>
    </row>
    <row r="34" spans="4:9" ht="15" x14ac:dyDescent="0.2">
      <c r="D34" s="278">
        <f t="shared" si="1"/>
        <v>42977</v>
      </c>
      <c r="E34" s="281">
        <v>30</v>
      </c>
      <c r="F34" s="288">
        <v>0</v>
      </c>
      <c r="G34" s="271">
        <v>0</v>
      </c>
      <c r="H34" s="289">
        <v>0</v>
      </c>
      <c r="I34" s="283">
        <f t="shared" si="0"/>
        <v>0</v>
      </c>
    </row>
    <row r="35" spans="4:9" ht="15.75" thickBot="1" x14ac:dyDescent="0.25">
      <c r="D35" s="279">
        <f t="shared" si="1"/>
        <v>42978</v>
      </c>
      <c r="E35" s="290">
        <v>31</v>
      </c>
      <c r="F35" s="291">
        <v>0</v>
      </c>
      <c r="G35" s="272">
        <v>0</v>
      </c>
      <c r="H35" s="292">
        <v>0</v>
      </c>
      <c r="I35" s="284">
        <f t="shared" si="0"/>
        <v>0</v>
      </c>
    </row>
    <row r="36" spans="4:9" ht="16.5" thickBot="1" x14ac:dyDescent="0.3">
      <c r="D36" s="297"/>
      <c r="E36" s="298" t="s">
        <v>102</v>
      </c>
      <c r="F36" s="293">
        <f>SUM(F5:F35)</f>
        <v>0</v>
      </c>
      <c r="G36" s="294">
        <f t="shared" ref="G36:I36" si="2">SUM(G5:G35)</f>
        <v>0</v>
      </c>
      <c r="H36" s="295">
        <f t="shared" si="2"/>
        <v>0</v>
      </c>
      <c r="I36" s="296">
        <f t="shared" si="2"/>
        <v>0</v>
      </c>
    </row>
    <row r="37" spans="4:9" x14ac:dyDescent="0.2">
      <c r="D37" s="270"/>
      <c r="E37" s="270"/>
    </row>
    <row r="38" spans="4:9" x14ac:dyDescent="0.2">
      <c r="D38" s="270"/>
      <c r="E38" s="270"/>
    </row>
    <row r="39" spans="4:9" x14ac:dyDescent="0.2">
      <c r="D39" s="270"/>
      <c r="E39" s="270"/>
    </row>
    <row r="40" spans="4:9" x14ac:dyDescent="0.2">
      <c r="D40" s="270"/>
      <c r="E40" s="270"/>
    </row>
    <row r="41" spans="4:9" x14ac:dyDescent="0.2">
      <c r="D41" s="270"/>
      <c r="E41" s="270"/>
    </row>
    <row r="42" spans="4:9" x14ac:dyDescent="0.2">
      <c r="D42" s="270"/>
      <c r="E42" s="270"/>
    </row>
    <row r="43" spans="4:9" x14ac:dyDescent="0.2">
      <c r="D43" s="270"/>
      <c r="E43" s="270"/>
    </row>
    <row r="44" spans="4:9" x14ac:dyDescent="0.2">
      <c r="D44" s="270"/>
      <c r="E44" s="270"/>
    </row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55" t="str">
        <f xml:space="preserve"> "VEHICLES WITH FRUIT PASSING THROUGH " &amp; Location</f>
        <v>VEHICLES WITH FRUIT PASSING THROUGH OODLA WIRRA</v>
      </c>
      <c r="D2" s="356"/>
      <c r="E2" s="356"/>
      <c r="F2" s="356"/>
      <c r="G2" s="356"/>
      <c r="H2" s="356"/>
      <c r="I2" s="356"/>
      <c r="J2" s="357"/>
    </row>
    <row r="3" spans="3:10" ht="16.5" thickBot="1" x14ac:dyDescent="0.25">
      <c r="C3" s="358" t="str">
        <f>Month &amp; " " &amp; Year</f>
        <v>August 2017</v>
      </c>
      <c r="D3" s="359"/>
      <c r="E3" s="359"/>
      <c r="F3" s="359"/>
      <c r="G3" s="359"/>
      <c r="H3" s="359"/>
      <c r="I3" s="359"/>
      <c r="J3" s="360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75" x14ac:dyDescent="0.25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75" x14ac:dyDescent="0.25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75" x14ac:dyDescent="0.25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75" x14ac:dyDescent="0.25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75" x14ac:dyDescent="0.25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75" x14ac:dyDescent="0.25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75" x14ac:dyDescent="0.25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75" x14ac:dyDescent="0.25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75" x14ac:dyDescent="0.25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75" x14ac:dyDescent="0.25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75" x14ac:dyDescent="0.25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75" x14ac:dyDescent="0.25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75" x14ac:dyDescent="0.25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75" x14ac:dyDescent="0.25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75" x14ac:dyDescent="0.25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75" x14ac:dyDescent="0.25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75" x14ac:dyDescent="0.25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75" x14ac:dyDescent="0.25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75" x14ac:dyDescent="0.25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75" x14ac:dyDescent="0.25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75" x14ac:dyDescent="0.25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75" x14ac:dyDescent="0.25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75" x14ac:dyDescent="0.25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75" x14ac:dyDescent="0.25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75" x14ac:dyDescent="0.25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75" x14ac:dyDescent="0.25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75" x14ac:dyDescent="0.25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75" x14ac:dyDescent="0.25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75" x14ac:dyDescent="0.25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75" x14ac:dyDescent="0.25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5" thickBot="1" x14ac:dyDescent="0.3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1" customWidth="1"/>
    <col min="4" max="16384" width="8.85546875" style="101"/>
  </cols>
  <sheetData>
    <row r="2" spans="3:9" ht="18" x14ac:dyDescent="0.25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75" thickBot="1" x14ac:dyDescent="0.25">
      <c r="E3" s="102"/>
    </row>
    <row r="4" spans="3:9" ht="15.75" thickBot="1" x14ac:dyDescent="0.25">
      <c r="C4" s="103"/>
      <c r="D4" s="104"/>
      <c r="E4" s="265"/>
      <c r="F4" s="104"/>
      <c r="G4" s="263" t="s">
        <v>96</v>
      </c>
      <c r="H4" s="318"/>
    </row>
    <row r="5" spans="3:9" ht="15.75" thickBot="1" x14ac:dyDescent="0.25">
      <c r="C5" s="103"/>
      <c r="D5" s="104"/>
      <c r="E5" s="104"/>
      <c r="F5" s="104"/>
      <c r="G5" s="105" t="s">
        <v>98</v>
      </c>
      <c r="H5" s="266"/>
    </row>
    <row r="6" spans="3:9" ht="15.75" thickBot="1" x14ac:dyDescent="0.25">
      <c r="C6" s="103"/>
      <c r="D6" s="104"/>
      <c r="E6" s="104"/>
      <c r="F6" s="104"/>
      <c r="G6" s="312" t="s">
        <v>111</v>
      </c>
      <c r="H6" s="266"/>
    </row>
    <row r="7" spans="3:9" ht="15.75" thickBot="1" x14ac:dyDescent="0.25">
      <c r="C7" s="103"/>
      <c r="D7" s="104"/>
      <c r="E7" s="104"/>
      <c r="F7" s="104"/>
      <c r="G7" s="105" t="s">
        <v>97</v>
      </c>
      <c r="H7" s="266"/>
    </row>
    <row r="8" spans="3:9" ht="15.75" thickBot="1" x14ac:dyDescent="0.25">
      <c r="C8" s="103"/>
      <c r="D8" s="104"/>
      <c r="E8" s="104"/>
      <c r="F8" s="104"/>
      <c r="G8" s="105" t="s">
        <v>31</v>
      </c>
      <c r="H8" s="266"/>
    </row>
    <row r="9" spans="3:9" ht="15.75" thickBot="1" x14ac:dyDescent="0.25">
      <c r="G9" s="106"/>
      <c r="H9" s="107"/>
    </row>
    <row r="10" spans="3:9" ht="15.75" thickBot="1" x14ac:dyDescent="0.25">
      <c r="C10" s="103"/>
      <c r="D10" s="104"/>
      <c r="E10" s="104"/>
      <c r="F10" s="104"/>
      <c r="G10" s="105" t="s">
        <v>40</v>
      </c>
      <c r="H10" s="318"/>
    </row>
    <row r="11" spans="3:9" ht="15.75" thickBot="1" x14ac:dyDescent="0.25">
      <c r="C11" s="103"/>
      <c r="D11" s="104"/>
      <c r="E11" s="104"/>
      <c r="F11" s="104"/>
      <c r="G11" s="105" t="s">
        <v>39</v>
      </c>
      <c r="H11" s="318"/>
    </row>
    <row r="12" spans="3:9" ht="15.75" thickBot="1" x14ac:dyDescent="0.25">
      <c r="C12" s="103"/>
      <c r="D12" s="104"/>
      <c r="E12" s="104"/>
      <c r="F12" s="104"/>
      <c r="G12" s="105" t="s">
        <v>32</v>
      </c>
      <c r="H12" s="319">
        <f>SUM(H10:H11)</f>
        <v>0</v>
      </c>
    </row>
    <row r="13" spans="3:9" ht="15.75" thickBot="1" x14ac:dyDescent="0.25">
      <c r="I13" s="106"/>
    </row>
    <row r="14" spans="3:9" ht="15.75" thickBot="1" x14ac:dyDescent="0.25">
      <c r="C14" s="103"/>
      <c r="D14" s="104"/>
      <c r="E14" s="104"/>
      <c r="F14" s="104"/>
      <c r="G14" s="105" t="s">
        <v>33</v>
      </c>
      <c r="H14" s="266"/>
    </row>
    <row r="15" spans="3:9" ht="15.75" thickBot="1" x14ac:dyDescent="0.25">
      <c r="C15" s="103"/>
      <c r="D15" s="104"/>
      <c r="E15" s="104"/>
      <c r="F15" s="104"/>
      <c r="G15" s="105" t="s">
        <v>34</v>
      </c>
      <c r="H15" s="266"/>
    </row>
    <row r="16" spans="3:9" ht="15.75" thickBot="1" x14ac:dyDescent="0.25">
      <c r="C16" s="103"/>
      <c r="D16" s="104"/>
      <c r="E16" s="104"/>
      <c r="F16" s="104"/>
      <c r="G16" s="105" t="s">
        <v>35</v>
      </c>
      <c r="H16" s="266"/>
    </row>
    <row r="17" spans="3:8" ht="15.75" thickBot="1" x14ac:dyDescent="0.25">
      <c r="C17" s="103"/>
      <c r="D17" s="104"/>
      <c r="E17" s="104"/>
      <c r="F17" s="104"/>
      <c r="G17" s="105" t="s">
        <v>36</v>
      </c>
      <c r="H17" s="266"/>
    </row>
    <row r="18" spans="3:8" ht="15.75" thickBot="1" x14ac:dyDescent="0.25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75" thickBot="1" x14ac:dyDescent="0.25">
      <c r="C19" s="251"/>
      <c r="D19" s="251"/>
      <c r="E19" s="251"/>
      <c r="F19" s="251"/>
      <c r="G19" s="252"/>
      <c r="H19" s="253"/>
    </row>
    <row r="20" spans="3:8" ht="15.75" thickBot="1" x14ac:dyDescent="0.25">
      <c r="C20" s="103"/>
      <c r="D20" s="104"/>
      <c r="E20" s="104"/>
      <c r="F20" s="104"/>
      <c r="G20" s="244" t="s">
        <v>90</v>
      </c>
      <c r="H20" s="256"/>
    </row>
    <row r="21" spans="3:8" ht="13.5" thickBot="1" x14ac:dyDescent="0.25"/>
    <row r="22" spans="3:8" ht="15.75" thickBot="1" x14ac:dyDescent="0.25">
      <c r="C22" s="361" t="s">
        <v>86</v>
      </c>
      <c r="D22" s="362"/>
      <c r="E22" s="362"/>
      <c r="F22" s="362"/>
      <c r="G22" s="363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2"/>
    <col min="2" max="2" width="9.140625" style="232" customWidth="1"/>
    <col min="3" max="6" width="14.7109375" style="232" customWidth="1"/>
    <col min="7" max="16384" width="9.140625" style="232"/>
  </cols>
  <sheetData>
    <row r="1" spans="2:6" s="223" customFormat="1" x14ac:dyDescent="0.25"/>
    <row r="2" spans="2:6" s="223" customFormat="1" ht="23.25" x14ac:dyDescent="0.35">
      <c r="C2" s="246" t="s">
        <v>87</v>
      </c>
      <c r="D2" s="246"/>
    </row>
    <row r="3" spans="2:6" s="223" customFormat="1" ht="15.75" thickBot="1" x14ac:dyDescent="0.3"/>
    <row r="4" spans="2:6" s="223" customFormat="1" ht="15.75" thickTop="1" x14ac:dyDescent="0.25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.75" thickBot="1" x14ac:dyDescent="0.3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25">
      <c r="B6" s="228"/>
      <c r="C6" s="268"/>
      <c r="E6" s="228"/>
      <c r="F6" s="229"/>
    </row>
    <row r="7" spans="2:6" s="230" customFormat="1" ht="8.25" customHeight="1" thickBot="1" x14ac:dyDescent="0.3">
      <c r="C7" s="269"/>
      <c r="F7" s="231"/>
    </row>
    <row r="8" spans="2:6" ht="16.5" thickTop="1" thickBot="1" x14ac:dyDescent="0.3"/>
    <row r="9" spans="2:6" ht="16.5" thickTop="1" thickBot="1" x14ac:dyDescent="0.3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.75" thickTop="1" x14ac:dyDescent="0.25">
      <c r="C10" s="235"/>
      <c r="D10" s="236"/>
      <c r="E10" s="236"/>
      <c r="F10" s="225" t="str">
        <f>IF(OR(D10&lt;&gt;0,E10&lt;&gt;0),PBal-D10+E10,"")</f>
        <v/>
      </c>
    </row>
    <row r="11" spans="2:6" x14ac:dyDescent="0.25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25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25">
      <c r="C13" s="241"/>
      <c r="D13" s="238"/>
      <c r="E13" s="238"/>
      <c r="F13" s="239" t="str">
        <f t="shared" si="0"/>
        <v/>
      </c>
    </row>
    <row r="14" spans="2:6" s="240" customFormat="1" x14ac:dyDescent="0.25">
      <c r="C14" s="241"/>
      <c r="D14" s="238"/>
      <c r="E14" s="238"/>
      <c r="F14" s="239" t="str">
        <f t="shared" si="0"/>
        <v/>
      </c>
    </row>
    <row r="15" spans="2:6" x14ac:dyDescent="0.25">
      <c r="C15" s="237"/>
      <c r="D15" s="238"/>
      <c r="E15" s="238"/>
      <c r="F15" s="239" t="str">
        <f t="shared" si="0"/>
        <v/>
      </c>
    </row>
    <row r="16" spans="2:6" x14ac:dyDescent="0.25">
      <c r="C16" s="237"/>
      <c r="D16" s="238"/>
      <c r="E16" s="238"/>
      <c r="F16" s="239" t="str">
        <f t="shared" si="0"/>
        <v/>
      </c>
    </row>
    <row r="17" spans="3:6" s="240" customFormat="1" x14ac:dyDescent="0.25">
      <c r="C17" s="241"/>
      <c r="D17" s="238"/>
      <c r="E17" s="238"/>
      <c r="F17" s="239" t="str">
        <f t="shared" si="0"/>
        <v/>
      </c>
    </row>
    <row r="18" spans="3:6" s="240" customFormat="1" x14ac:dyDescent="0.25">
      <c r="C18" s="241"/>
      <c r="D18" s="238"/>
      <c r="E18" s="238"/>
      <c r="F18" s="239" t="str">
        <f t="shared" si="0"/>
        <v/>
      </c>
    </row>
    <row r="19" spans="3:6" s="240" customFormat="1" x14ac:dyDescent="0.25">
      <c r="C19" s="241"/>
      <c r="D19" s="238"/>
      <c r="E19" s="238"/>
      <c r="F19" s="239" t="str">
        <f t="shared" si="0"/>
        <v/>
      </c>
    </row>
    <row r="20" spans="3:6" x14ac:dyDescent="0.25">
      <c r="C20" s="237"/>
      <c r="D20" s="238"/>
      <c r="E20" s="238"/>
      <c r="F20" s="239" t="str">
        <f t="shared" si="0"/>
        <v/>
      </c>
    </row>
    <row r="21" spans="3:6" x14ac:dyDescent="0.25">
      <c r="C21" s="237"/>
      <c r="D21" s="238"/>
      <c r="E21" s="238"/>
      <c r="F21" s="239" t="str">
        <f t="shared" si="0"/>
        <v/>
      </c>
    </row>
    <row r="22" spans="3:6" x14ac:dyDescent="0.25">
      <c r="C22" s="237"/>
      <c r="D22" s="238"/>
      <c r="E22" s="238"/>
      <c r="F22" s="239" t="str">
        <f t="shared" si="0"/>
        <v/>
      </c>
    </row>
    <row r="23" spans="3:6" x14ac:dyDescent="0.25">
      <c r="C23" s="237"/>
      <c r="D23" s="238"/>
      <c r="E23" s="238"/>
      <c r="F23" s="239" t="str">
        <f t="shared" si="0"/>
        <v/>
      </c>
    </row>
    <row r="24" spans="3:6" x14ac:dyDescent="0.25">
      <c r="C24" s="237"/>
      <c r="D24" s="238"/>
      <c r="E24" s="238"/>
      <c r="F24" s="239" t="str">
        <f t="shared" si="0"/>
        <v/>
      </c>
    </row>
    <row r="25" spans="3:6" x14ac:dyDescent="0.25">
      <c r="C25" s="237"/>
      <c r="D25" s="238"/>
      <c r="E25" s="238"/>
      <c r="F25" s="239" t="str">
        <f t="shared" si="0"/>
        <v/>
      </c>
    </row>
    <row r="26" spans="3:6" x14ac:dyDescent="0.25">
      <c r="C26" s="237"/>
      <c r="D26" s="238"/>
      <c r="E26" s="238"/>
      <c r="F26" s="239" t="str">
        <f t="shared" si="0"/>
        <v/>
      </c>
    </row>
    <row r="27" spans="3:6" x14ac:dyDescent="0.25">
      <c r="C27" s="237"/>
      <c r="D27" s="238"/>
      <c r="E27" s="238"/>
      <c r="F27" s="239" t="str">
        <f t="shared" si="0"/>
        <v/>
      </c>
    </row>
    <row r="28" spans="3:6" x14ac:dyDescent="0.25">
      <c r="C28" s="237"/>
      <c r="D28" s="238"/>
      <c r="E28" s="238"/>
      <c r="F28" s="239" t="str">
        <f t="shared" si="0"/>
        <v/>
      </c>
    </row>
    <row r="29" spans="3:6" x14ac:dyDescent="0.25">
      <c r="C29" s="237"/>
      <c r="D29" s="238"/>
      <c r="E29" s="238"/>
      <c r="F29" s="239" t="str">
        <f t="shared" si="0"/>
        <v/>
      </c>
    </row>
    <row r="30" spans="3:6" x14ac:dyDescent="0.25">
      <c r="C30" s="237"/>
      <c r="D30" s="238"/>
      <c r="E30" s="238"/>
      <c r="F30" s="239" t="str">
        <f t="shared" si="0"/>
        <v/>
      </c>
    </row>
    <row r="31" spans="3:6" x14ac:dyDescent="0.25">
      <c r="C31" s="237"/>
      <c r="D31" s="238"/>
      <c r="E31" s="238"/>
      <c r="F31" s="239" t="str">
        <f t="shared" si="0"/>
        <v/>
      </c>
    </row>
    <row r="32" spans="3:6" x14ac:dyDescent="0.25">
      <c r="C32" s="237"/>
      <c r="D32" s="238"/>
      <c r="E32" s="238"/>
      <c r="F32" s="239" t="str">
        <f t="shared" si="0"/>
        <v/>
      </c>
    </row>
    <row r="33" spans="3:6" x14ac:dyDescent="0.25">
      <c r="C33" s="237"/>
      <c r="D33" s="238"/>
      <c r="E33" s="238"/>
      <c r="F33" s="239" t="str">
        <f t="shared" si="0"/>
        <v/>
      </c>
    </row>
    <row r="34" spans="3:6" ht="15.75" thickBot="1" x14ac:dyDescent="0.3">
      <c r="C34" s="242"/>
      <c r="D34" s="243"/>
      <c r="E34" s="243"/>
      <c r="F34" s="227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8" t="str">
        <f>Location &amp;" Roadblock, Stock Totals - "&amp; Month &amp; ", " &amp; Year</f>
        <v>OODLA WIRRA Roadblock, Stock Totals - August,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79" t="s">
        <v>24</v>
      </c>
      <c r="D5" s="75"/>
    </row>
    <row r="6" spans="1:6" x14ac:dyDescent="0.2">
      <c r="C6" s="80" t="s">
        <v>25</v>
      </c>
      <c r="D6" s="76"/>
    </row>
    <row r="7" spans="1:6" x14ac:dyDescent="0.2">
      <c r="C7" s="80" t="s">
        <v>26</v>
      </c>
      <c r="D7" s="76"/>
    </row>
    <row r="8" spans="1:6" ht="13.5" thickBot="1" x14ac:dyDescent="0.25">
      <c r="C8" s="81" t="s">
        <v>27</v>
      </c>
      <c r="D8" s="77"/>
    </row>
    <row r="9" spans="1:6" ht="17.25" thickTop="1" thickBot="1" x14ac:dyDescent="0.3">
      <c r="C9" s="82" t="s">
        <v>28</v>
      </c>
      <c r="D9" s="83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abSelected="1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">
      <c r="E6" s="88"/>
      <c r="F6" s="88"/>
      <c r="H6" s="89"/>
      <c r="I6" s="88"/>
      <c r="J6" s="88"/>
    </row>
    <row r="7" spans="3:13" ht="15.75" x14ac:dyDescent="0.2">
      <c r="E7" s="88"/>
      <c r="F7" s="88"/>
      <c r="H7" s="89" t="str">
        <f xml:space="preserve"> Month &amp; ", " &amp; Year &amp; " - Monthly Report"</f>
        <v>August, 2017 - Monthly Report</v>
      </c>
      <c r="I7" s="88"/>
      <c r="J7" s="88"/>
    </row>
    <row r="8" spans="3:13" ht="7.5" customHeight="1" thickBot="1" x14ac:dyDescent="0.3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">
      <c r="E9" s="38"/>
    </row>
    <row r="10" spans="3:13" ht="15.75" x14ac:dyDescent="0.25">
      <c r="E10" s="91" t="s">
        <v>42</v>
      </c>
    </row>
    <row r="11" spans="3:13" ht="6" customHeight="1" thickBot="1" x14ac:dyDescent="0.25">
      <c r="E11" s="38"/>
    </row>
    <row r="12" spans="3:13" ht="15.75" thickBot="1" x14ac:dyDescent="0.25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PrevTotalVehicles+PrevTotalCaravans</f>
        <v>0</v>
      </c>
    </row>
    <row r="13" spans="3:13" ht="15.75" thickBot="1" x14ac:dyDescent="0.25">
      <c r="G13" s="84"/>
      <c r="H13" s="313"/>
      <c r="K13" s="84"/>
      <c r="L13" s="313"/>
    </row>
    <row r="14" spans="3:13" ht="15.75" thickBot="1" x14ac:dyDescent="0.25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75" thickBot="1" x14ac:dyDescent="0.25">
      <c r="G15" s="84"/>
      <c r="H15" s="313"/>
      <c r="K15" s="84"/>
      <c r="L15" s="313"/>
    </row>
    <row r="16" spans="3:13" ht="15.75" thickBot="1" x14ac:dyDescent="0.25">
      <c r="G16" s="84" t="s">
        <v>112</v>
      </c>
      <c r="H16" s="264">
        <f>TotalCaravans</f>
        <v>0</v>
      </c>
      <c r="K16" s="84" t="s">
        <v>29</v>
      </c>
      <c r="L16" s="264">
        <f>PrevTotalCaravans</f>
        <v>0</v>
      </c>
    </row>
    <row r="17" spans="3:13" ht="15.75" thickBot="1" x14ac:dyDescent="0.25">
      <c r="G17" s="84"/>
      <c r="H17" s="314"/>
      <c r="K17" s="85"/>
      <c r="L17" s="315"/>
    </row>
    <row r="18" spans="3:13" ht="15.75" thickBot="1" x14ac:dyDescent="0.25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75" thickBot="1" x14ac:dyDescent="0.25">
      <c r="G19" s="84"/>
      <c r="H19" s="314"/>
      <c r="K19" s="85"/>
      <c r="L19" s="315"/>
    </row>
    <row r="20" spans="3:13" ht="15.75" thickBot="1" x14ac:dyDescent="0.25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75" thickBot="1" x14ac:dyDescent="0.25">
      <c r="G21" s="84"/>
      <c r="H21" s="314"/>
      <c r="K21" s="85"/>
      <c r="L21" s="315"/>
    </row>
    <row r="22" spans="3:13" ht="15.75" thickBot="1" x14ac:dyDescent="0.25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25">
      <c r="G23" s="84"/>
      <c r="H23" s="98"/>
      <c r="K23" s="84"/>
      <c r="L23" s="99"/>
    </row>
    <row r="24" spans="3:13" ht="4.5" customHeight="1" x14ac:dyDescent="0.2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">
      <c r="G25" s="84"/>
      <c r="K25" s="84"/>
      <c r="L25" s="84"/>
    </row>
    <row r="26" spans="3:13" ht="15.75" x14ac:dyDescent="0.25">
      <c r="E26" s="91" t="s">
        <v>38</v>
      </c>
      <c r="I26" s="38"/>
    </row>
    <row r="27" spans="3:13" ht="9.75" customHeight="1" thickBot="1" x14ac:dyDescent="0.25">
      <c r="E27" s="38"/>
      <c r="K27" s="98"/>
    </row>
    <row r="28" spans="3:13" ht="15.75" thickBot="1" x14ac:dyDescent="0.25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25">
      <c r="E29" s="84"/>
    </row>
    <row r="30" spans="3:13" ht="15.75" thickBot="1" x14ac:dyDescent="0.25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75" x14ac:dyDescent="0.25">
      <c r="E33" s="100" t="s">
        <v>41</v>
      </c>
    </row>
    <row r="34" spans="3:13" ht="15.75" thickBot="1" x14ac:dyDescent="0.25">
      <c r="E34" s="38"/>
    </row>
    <row r="35" spans="3:13" ht="15.75" thickBot="1" x14ac:dyDescent="0.25">
      <c r="E35" s="84" t="s">
        <v>33</v>
      </c>
      <c r="F35" s="264">
        <f>Sheep</f>
        <v>0</v>
      </c>
      <c r="K35" s="84" t="s">
        <v>29</v>
      </c>
      <c r="L35" s="317">
        <f>PrevSheep + Sheep</f>
        <v>0</v>
      </c>
    </row>
    <row r="36" spans="3:13" ht="8.4499999999999993" customHeight="1" thickBot="1" x14ac:dyDescent="0.25">
      <c r="E36" s="84"/>
      <c r="F36" s="314"/>
      <c r="K36" s="85"/>
      <c r="L36" s="314"/>
    </row>
    <row r="37" spans="3:13" ht="15.75" thickBot="1" x14ac:dyDescent="0.25">
      <c r="E37" s="84" t="s">
        <v>34</v>
      </c>
      <c r="F37" s="264">
        <f>Cattle</f>
        <v>0</v>
      </c>
      <c r="K37" s="84" t="s">
        <v>29</v>
      </c>
      <c r="L37" s="317">
        <f>PrevCattle + Cattle</f>
        <v>0</v>
      </c>
    </row>
    <row r="38" spans="3:13" ht="8.4499999999999993" customHeight="1" thickBot="1" x14ac:dyDescent="0.25">
      <c r="E38" s="84"/>
      <c r="F38" s="314"/>
      <c r="K38" s="85"/>
      <c r="L38" s="314"/>
    </row>
    <row r="39" spans="3:13" ht="15.75" thickBot="1" x14ac:dyDescent="0.25">
      <c r="E39" s="84" t="s">
        <v>35</v>
      </c>
      <c r="F39" s="264">
        <f xml:space="preserve"> Pigs</f>
        <v>0</v>
      </c>
      <c r="K39" s="84" t="s">
        <v>29</v>
      </c>
      <c r="L39" s="317">
        <f>PrevPigs + Pigs</f>
        <v>0</v>
      </c>
    </row>
    <row r="40" spans="3:13" ht="8.4499999999999993" customHeight="1" thickBot="1" x14ac:dyDescent="0.25">
      <c r="E40" s="84"/>
      <c r="F40" s="314"/>
      <c r="K40" s="85"/>
      <c r="L40" s="314"/>
    </row>
    <row r="41" spans="3:13" ht="15.75" thickBot="1" x14ac:dyDescent="0.25">
      <c r="E41" s="84" t="s">
        <v>36</v>
      </c>
      <c r="F41" s="264">
        <f>Other</f>
        <v>0</v>
      </c>
      <c r="K41" s="84" t="s">
        <v>29</v>
      </c>
      <c r="L41" s="317">
        <f>PrevOther + Other</f>
        <v>0</v>
      </c>
    </row>
    <row r="42" spans="3:13" ht="4.5" customHeight="1" x14ac:dyDescent="0.2">
      <c r="E42" s="38"/>
    </row>
    <row r="43" spans="3:13" ht="5.25" customHeight="1" x14ac:dyDescent="0.2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75" x14ac:dyDescent="0.25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25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75" thickBot="1" x14ac:dyDescent="0.25">
      <c r="C47" s="96"/>
      <c r="D47" s="96"/>
      <c r="E47" s="248" t="s">
        <v>89</v>
      </c>
      <c r="F47" s="316">
        <v>0</v>
      </c>
      <c r="G47" s="96"/>
      <c r="H47" s="96"/>
      <c r="I47" s="96"/>
      <c r="J47" s="96"/>
      <c r="K47" s="84" t="s">
        <v>29</v>
      </c>
      <c r="L47" s="317">
        <f>PrevFruitFly + FruitFly</f>
        <v>0</v>
      </c>
      <c r="M47" s="96"/>
    </row>
    <row r="48" spans="3:13" ht="7.5" customHeight="1" x14ac:dyDescent="0.2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">
      <c r="C49" s="299"/>
      <c r="D49" s="299"/>
      <c r="E49" s="300"/>
      <c r="F49" s="299"/>
      <c r="G49" s="299"/>
      <c r="H49" s="299"/>
      <c r="I49" s="299"/>
      <c r="J49" s="299"/>
      <c r="K49" s="300"/>
      <c r="L49" s="299"/>
      <c r="M49" s="299"/>
    </row>
    <row r="50" spans="3:13" ht="14.25" customHeight="1" x14ac:dyDescent="0.25">
      <c r="C50" s="96"/>
      <c r="D50" s="96"/>
      <c r="E50" s="250" t="s">
        <v>106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25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25">
      <c r="D52" s="96"/>
      <c r="E52" s="248" t="s">
        <v>107</v>
      </c>
      <c r="F52" s="249">
        <f>MAX(ShiftStatsTotal)</f>
        <v>0</v>
      </c>
      <c r="G52" s="96"/>
      <c r="H52" s="301" t="s">
        <v>108</v>
      </c>
      <c r="I52" s="249">
        <f>MAX(ShiftStats)</f>
        <v>0</v>
      </c>
      <c r="K52" s="248" t="s">
        <v>109</v>
      </c>
      <c r="L52" s="249">
        <f>COUNTIF(ShiftStats,"&gt;199")</f>
        <v>0</v>
      </c>
      <c r="M52" s="96"/>
    </row>
    <row r="53" spans="3:13" ht="9" customHeight="1" x14ac:dyDescent="0.2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">
      <c r="E55" s="38"/>
    </row>
    <row r="56" spans="3:13" ht="15.75" x14ac:dyDescent="0.25">
      <c r="E56" s="100" t="s">
        <v>43</v>
      </c>
    </row>
    <row r="57" spans="3:13" ht="13.5" thickBot="1" x14ac:dyDescent="0.25">
      <c r="D57" t="s">
        <v>37</v>
      </c>
    </row>
    <row r="58" spans="3:13" x14ac:dyDescent="0.2">
      <c r="D58" s="364"/>
      <c r="E58" s="365"/>
      <c r="F58" s="365"/>
      <c r="G58" s="365"/>
      <c r="H58" s="365"/>
      <c r="I58" s="365"/>
      <c r="J58" s="365"/>
      <c r="K58" s="365"/>
      <c r="L58" s="366"/>
    </row>
    <row r="59" spans="3:13" x14ac:dyDescent="0.2">
      <c r="D59" s="367"/>
      <c r="E59" s="368"/>
      <c r="F59" s="368"/>
      <c r="G59" s="368"/>
      <c r="H59" s="368"/>
      <c r="I59" s="368"/>
      <c r="J59" s="368"/>
      <c r="K59" s="368"/>
      <c r="L59" s="369"/>
    </row>
    <row r="60" spans="3:13" x14ac:dyDescent="0.2">
      <c r="D60" s="367"/>
      <c r="E60" s="368"/>
      <c r="F60" s="368"/>
      <c r="G60" s="368"/>
      <c r="H60" s="368"/>
      <c r="I60" s="368"/>
      <c r="J60" s="368"/>
      <c r="K60" s="368"/>
      <c r="L60" s="369"/>
    </row>
    <row r="61" spans="3:13" x14ac:dyDescent="0.2">
      <c r="D61" s="367"/>
      <c r="E61" s="368"/>
      <c r="F61" s="368"/>
      <c r="G61" s="368"/>
      <c r="H61" s="368"/>
      <c r="I61" s="368"/>
      <c r="J61" s="368"/>
      <c r="K61" s="368"/>
      <c r="L61" s="369"/>
    </row>
    <row r="62" spans="3:13" x14ac:dyDescent="0.2">
      <c r="D62" s="367"/>
      <c r="E62" s="368"/>
      <c r="F62" s="368"/>
      <c r="G62" s="368"/>
      <c r="H62" s="368"/>
      <c r="I62" s="368"/>
      <c r="J62" s="368"/>
      <c r="K62" s="368"/>
      <c r="L62" s="369"/>
    </row>
    <row r="63" spans="3:13" x14ac:dyDescent="0.2">
      <c r="D63" s="367"/>
      <c r="E63" s="368"/>
      <c r="F63" s="368"/>
      <c r="G63" s="368"/>
      <c r="H63" s="368"/>
      <c r="I63" s="368"/>
      <c r="J63" s="368"/>
      <c r="K63" s="368"/>
      <c r="L63" s="369"/>
    </row>
    <row r="64" spans="3:13" x14ac:dyDescent="0.2">
      <c r="D64" s="367"/>
      <c r="E64" s="368"/>
      <c r="F64" s="368"/>
      <c r="G64" s="368"/>
      <c r="H64" s="368"/>
      <c r="I64" s="368"/>
      <c r="J64" s="368"/>
      <c r="K64" s="368"/>
      <c r="L64" s="369"/>
    </row>
    <row r="65" spans="3:13" x14ac:dyDescent="0.2">
      <c r="D65" s="367"/>
      <c r="E65" s="368"/>
      <c r="F65" s="368"/>
      <c r="G65" s="368"/>
      <c r="H65" s="368"/>
      <c r="I65" s="368"/>
      <c r="J65" s="368"/>
      <c r="K65" s="368"/>
      <c r="L65" s="369"/>
    </row>
    <row r="66" spans="3:13" x14ac:dyDescent="0.2">
      <c r="D66" s="367"/>
      <c r="E66" s="368"/>
      <c r="F66" s="368"/>
      <c r="G66" s="368"/>
      <c r="H66" s="368"/>
      <c r="I66" s="368"/>
      <c r="J66" s="368"/>
      <c r="K66" s="368"/>
      <c r="L66" s="369"/>
    </row>
    <row r="67" spans="3:13" x14ac:dyDescent="0.2">
      <c r="D67" s="367"/>
      <c r="E67" s="368"/>
      <c r="F67" s="368"/>
      <c r="G67" s="368"/>
      <c r="H67" s="368"/>
      <c r="I67" s="368"/>
      <c r="J67" s="368"/>
      <c r="K67" s="368"/>
      <c r="L67" s="369"/>
    </row>
    <row r="68" spans="3:13" ht="13.5" thickBot="1" x14ac:dyDescent="0.25">
      <c r="D68" s="370"/>
      <c r="E68" s="371"/>
      <c r="F68" s="371"/>
      <c r="G68" s="371"/>
      <c r="H68" s="371"/>
      <c r="I68" s="371"/>
      <c r="J68" s="371"/>
      <c r="K68" s="371"/>
      <c r="L68" s="372"/>
    </row>
    <row r="69" spans="3:13" ht="13.5" x14ac:dyDescent="0.2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5" x14ac:dyDescent="0.2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5" x14ac:dyDescent="0.2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  <row r="157" s="36" customFormat="1" x14ac:dyDescent="0.2"/>
    <row r="158" s="36" customFormat="1" x14ac:dyDescent="0.2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14" zoomScale="189" zoomScaleNormal="145" workbookViewId="0">
      <selection activeCell="E26" sqref="E26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5" customFormat="1" ht="6" customHeight="1" x14ac:dyDescent="0.2"/>
    <row r="2" spans="1:86" s="215" customFormat="1" ht="7.5" customHeight="1" x14ac:dyDescent="0.2"/>
    <row r="3" spans="1:86" s="215" customFormat="1" ht="6" customHeight="1" thickBot="1" x14ac:dyDescent="0.25"/>
    <row r="4" spans="1:86" s="215" customFormat="1" ht="14.25" thickTop="1" thickBot="1" x14ac:dyDescent="0.25">
      <c r="D4" s="222" t="s">
        <v>59</v>
      </c>
      <c r="E4" s="220">
        <v>28</v>
      </c>
      <c r="G4" s="216" t="b">
        <v>1</v>
      </c>
    </row>
    <row r="5" spans="1:86" s="215" customFormat="1" ht="21.6" customHeight="1" thickTop="1" thickBot="1" x14ac:dyDescent="0.25">
      <c r="G5" s="302" t="b">
        <v>1</v>
      </c>
    </row>
    <row r="6" spans="1:86" s="127" customFormat="1" ht="25.5" thickTop="1" thickBot="1" x14ac:dyDescent="0.25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5" thickBot="1" x14ac:dyDescent="0.25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5" thickBot="1" x14ac:dyDescent="0.25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5" thickBot="1" x14ac:dyDescent="0.25">
      <c r="A9" s="215"/>
      <c r="B9" s="215"/>
      <c r="C9" s="215"/>
      <c r="D9" s="131" t="s">
        <v>110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5" thickBot="1" x14ac:dyDescent="0.25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5" thickBot="1" x14ac:dyDescent="0.25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5" thickBot="1" x14ac:dyDescent="0.25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5" thickBot="1" x14ac:dyDescent="0.25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5" thickBot="1" x14ac:dyDescent="0.25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75" thickBot="1" x14ac:dyDescent="0.25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75" thickBot="1" x14ac:dyDescent="0.25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25" thickTop="1" thickBot="1" x14ac:dyDescent="0.25"/>
    <row r="19" spans="1:86" s="217" customFormat="1" ht="14.25" thickTop="1" thickBot="1" x14ac:dyDescent="0.25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5" thickTop="1" x14ac:dyDescent="0.2"/>
    <row r="21" spans="1:86" s="218" customFormat="1" ht="13.5" thickBot="1" x14ac:dyDescent="0.25"/>
    <row r="22" spans="1:86" ht="14.25" thickTop="1" thickBot="1" x14ac:dyDescent="0.25"/>
    <row r="23" spans="1:86" ht="25.5" customHeight="1" thickTop="1" x14ac:dyDescent="0.2">
      <c r="D23" s="377" t="s">
        <v>56</v>
      </c>
      <c r="H23" s="214" t="str">
        <f>TEXT(DATEVALUE(Day &amp; ", " &amp; Month &amp; ", " &amp; Year), "ddd, dd mmm, yyyy")</f>
        <v>Mon, 28 Aug, 2017</v>
      </c>
      <c r="I23" s="214"/>
      <c r="J23" s="214" t="str">
        <f>"Page " &amp; IF(chkNights = TRUE, (Day * 3) -2)</f>
        <v>Page 82</v>
      </c>
    </row>
    <row r="24" spans="1:86" ht="6" customHeight="1" thickBot="1" x14ac:dyDescent="0.25">
      <c r="D24" s="378"/>
    </row>
    <row r="25" spans="1:86" ht="25.5" thickTop="1" thickBot="1" x14ac:dyDescent="0.25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4.25" x14ac:dyDescent="0.2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4.25" x14ac:dyDescent="0.2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4.25" x14ac:dyDescent="0.2">
      <c r="D28" s="131" t="s">
        <v>110</v>
      </c>
      <c r="E28" s="303"/>
      <c r="F28" s="304"/>
      <c r="G28" s="304"/>
      <c r="H28" s="304"/>
      <c r="I28" s="304"/>
      <c r="J28" s="305"/>
      <c r="K28" s="135">
        <f t="shared" si="10"/>
        <v>0</v>
      </c>
    </row>
    <row r="29" spans="1:86" ht="14.25" x14ac:dyDescent="0.2">
      <c r="D29" s="131" t="s">
        <v>50</v>
      </c>
      <c r="E29" s="303"/>
      <c r="F29" s="304"/>
      <c r="G29" s="304"/>
      <c r="H29" s="304"/>
      <c r="I29" s="304"/>
      <c r="J29" s="305"/>
      <c r="K29" s="135">
        <f t="shared" si="10"/>
        <v>0</v>
      </c>
    </row>
    <row r="30" spans="1:86" ht="14.25" x14ac:dyDescent="0.2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4.25" x14ac:dyDescent="0.2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4.25" x14ac:dyDescent="0.2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5" thickBot="1" x14ac:dyDescent="0.25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75" thickBot="1" x14ac:dyDescent="0.25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75" thickBot="1" x14ac:dyDescent="0.25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x14ac:dyDescent="0.2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.75" hidden="1" thickTop="1" thickBot="1" x14ac:dyDescent="0.25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25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25"/>
    <row r="41" spans="4:11" ht="25.5" customHeight="1" thickTop="1" x14ac:dyDescent="0.2">
      <c r="D41" s="373" t="s">
        <v>57</v>
      </c>
      <c r="H41" s="212" t="str">
        <f>TEXT(DATEVALUE(Day &amp; ", " &amp; Month &amp; ", " &amp; Year), "ddd, dd mmm, yyyy")</f>
        <v>Mon, 28 Aug, 2017</v>
      </c>
      <c r="I41" s="212"/>
      <c r="J41" s="212" t="str">
        <f>"Page " &amp; IF(chkNights = TRUE, (Day * 3) - 1,IF(chkAfternoons = TRUE,(Day * 2) -1, Day))</f>
        <v>Page 83</v>
      </c>
    </row>
    <row r="42" spans="4:11" ht="6" customHeight="1" thickBot="1" x14ac:dyDescent="0.25">
      <c r="D42" s="374"/>
    </row>
    <row r="43" spans="4:11" ht="25.5" thickTop="1" thickBot="1" x14ac:dyDescent="0.25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4.25" x14ac:dyDescent="0.2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4.25" x14ac:dyDescent="0.2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4.25" x14ac:dyDescent="0.2">
      <c r="D46" s="131" t="s">
        <v>110</v>
      </c>
      <c r="E46" s="306"/>
      <c r="F46" s="307"/>
      <c r="G46" s="307"/>
      <c r="H46" s="307"/>
      <c r="I46" s="307"/>
      <c r="J46" s="308"/>
      <c r="K46" s="135">
        <f t="shared" si="13"/>
        <v>0</v>
      </c>
    </row>
    <row r="47" spans="4:11" ht="14.25" x14ac:dyDescent="0.2">
      <c r="D47" s="131" t="s">
        <v>50</v>
      </c>
      <c r="E47" s="306"/>
      <c r="F47" s="307"/>
      <c r="G47" s="307"/>
      <c r="H47" s="307"/>
      <c r="I47" s="307"/>
      <c r="J47" s="308"/>
      <c r="K47" s="135">
        <f t="shared" si="13"/>
        <v>0</v>
      </c>
    </row>
    <row r="48" spans="4:11" ht="14.25" x14ac:dyDescent="0.2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4.25" x14ac:dyDescent="0.2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4.25" x14ac:dyDescent="0.2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5" thickBot="1" x14ac:dyDescent="0.25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75" thickBot="1" x14ac:dyDescent="0.25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75" thickBot="1" x14ac:dyDescent="0.25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25"/>
    <row r="56" spans="4:11" ht="15.75" customHeight="1" thickTop="1" thickBot="1" x14ac:dyDescent="0.25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375" t="s">
        <v>58</v>
      </c>
      <c r="H59" s="213" t="str">
        <f>TEXT(DATEVALUE(Day &amp; ", " &amp; Month &amp; ", " &amp; Year), "ddd, dd mmm yyyy")</f>
        <v>Mon, 28 Aug 2017</v>
      </c>
      <c r="I59" s="213"/>
      <c r="J59" s="213" t="str">
        <f>"Page " &amp; IF(chkNights = TRUE, (Day * 3), Day * 2)</f>
        <v>Page 84</v>
      </c>
    </row>
    <row r="60" spans="4:11" ht="9" customHeight="1" thickBot="1" x14ac:dyDescent="0.25">
      <c r="D60" s="376"/>
    </row>
    <row r="61" spans="4:11" ht="25.5" thickTop="1" thickBot="1" x14ac:dyDescent="0.25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4.25" x14ac:dyDescent="0.2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4.25" x14ac:dyDescent="0.2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4.25" x14ac:dyDescent="0.2">
      <c r="D64" s="131" t="s">
        <v>110</v>
      </c>
      <c r="E64" s="309"/>
      <c r="F64" s="310"/>
      <c r="G64" s="310"/>
      <c r="H64" s="310"/>
      <c r="I64" s="310"/>
      <c r="J64" s="311"/>
      <c r="K64" s="135">
        <f t="shared" si="16"/>
        <v>0</v>
      </c>
    </row>
    <row r="65" spans="4:15" ht="14.25" x14ac:dyDescent="0.2">
      <c r="D65" s="131" t="s">
        <v>50</v>
      </c>
      <c r="E65" s="309"/>
      <c r="F65" s="310"/>
      <c r="G65" s="310"/>
      <c r="H65" s="310"/>
      <c r="I65" s="310"/>
      <c r="J65" s="311"/>
      <c r="K65" s="135">
        <f t="shared" si="16"/>
        <v>0</v>
      </c>
    </row>
    <row r="66" spans="4:15" ht="14.25" x14ac:dyDescent="0.2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4.25" x14ac:dyDescent="0.2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4.25" x14ac:dyDescent="0.2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5" thickBot="1" x14ac:dyDescent="0.25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75" thickBot="1" x14ac:dyDescent="0.25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75" thickBot="1" x14ac:dyDescent="0.3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x14ac:dyDescent="0.2"/>
    <row r="74" spans="4:15" ht="16.5" hidden="1" customHeight="1" thickTop="1" thickBot="1" x14ac:dyDescent="0.25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25" hidden="1" thickTop="1" thickBot="1" x14ac:dyDescent="0.25"/>
    <row r="84" spans="6:6" x14ac:dyDescent="0.2">
      <c r="F84" s="199">
        <v>31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276225</xdr:colOff>
                <xdr:row>22</xdr:row>
                <xdr:rowOff>66675</xdr:rowOff>
              </from>
              <to>
                <xdr:col>6</xdr:col>
                <xdr:colOff>504825</xdr:colOff>
                <xdr:row>23</xdr:row>
                <xdr:rowOff>28575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219075</xdr:colOff>
                <xdr:row>39</xdr:row>
                <xdr:rowOff>161925</xdr:rowOff>
              </from>
              <to>
                <xdr:col>6</xdr:col>
                <xdr:colOff>447675</xdr:colOff>
                <xdr:row>40</xdr:row>
                <xdr:rowOff>266700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171450</xdr:colOff>
                <xdr:row>41</xdr:row>
                <xdr:rowOff>57150</xdr:rowOff>
              </from>
              <to>
                <xdr:col>6</xdr:col>
                <xdr:colOff>381000</xdr:colOff>
                <xdr:row>42</xdr:row>
                <xdr:rowOff>257175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1"/>
    <col min="3" max="3" width="8.5703125" style="201" customWidth="1"/>
    <col min="4" max="4" width="4.5703125" style="201" customWidth="1"/>
    <col min="5" max="5" width="14" style="201" customWidth="1"/>
    <col min="6" max="7" width="9.140625" style="201"/>
    <col min="8" max="8" width="12.42578125" style="201" customWidth="1"/>
    <col min="9" max="9" width="9.140625" style="201"/>
    <col min="10" max="10" width="12.140625" style="201" customWidth="1"/>
    <col min="11" max="11" width="9.140625" style="201"/>
    <col min="12" max="12" width="10.7109375" style="201" customWidth="1"/>
    <col min="13" max="13" width="9.140625" style="201"/>
    <col min="14" max="14" width="10.42578125" style="201" customWidth="1"/>
    <col min="15" max="15" width="9.140625" style="201"/>
    <col min="16" max="16" width="15.140625" style="201" customWidth="1"/>
    <col min="17" max="17" width="19.5703125" style="201" customWidth="1"/>
    <col min="18" max="16384" width="9.140625" style="201"/>
  </cols>
  <sheetData>
    <row r="3" spans="4:17" ht="13.5" thickBot="1" x14ac:dyDescent="0.25"/>
    <row r="4" spans="4:17" ht="14.25" thickTop="1" thickBot="1" x14ac:dyDescent="0.25">
      <c r="D4" s="379" t="s">
        <v>65</v>
      </c>
      <c r="E4" s="38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115</v>
      </c>
    </row>
    <row r="5" spans="4:17" ht="13.5" thickTop="1" x14ac:dyDescent="0.2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5" thickBot="1" x14ac:dyDescent="0.25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105</v>
      </c>
    </row>
    <row r="7" spans="4:17" ht="13.5" thickTop="1" x14ac:dyDescent="0.2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5" thickBot="1" x14ac:dyDescent="0.25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5" thickTop="1" x14ac:dyDescent="0.2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">
      <c r="H31" s="209">
        <v>27</v>
      </c>
      <c r="J31" s="209">
        <v>27</v>
      </c>
      <c r="L31" s="209">
        <v>27</v>
      </c>
      <c r="N31" s="209">
        <v>27</v>
      </c>
    </row>
    <row r="32" spans="8:14" ht="13.5" thickBot="1" x14ac:dyDescent="0.25">
      <c r="H32" s="209">
        <v>28</v>
      </c>
      <c r="J32" s="209">
        <v>28</v>
      </c>
      <c r="L32" s="210">
        <v>28</v>
      </c>
      <c r="N32" s="209">
        <v>28</v>
      </c>
    </row>
    <row r="33" spans="8:14" ht="14.25" thickTop="1" thickBot="1" x14ac:dyDescent="0.25">
      <c r="H33" s="209">
        <v>29</v>
      </c>
      <c r="J33" s="209">
        <v>29</v>
      </c>
      <c r="N33" s="210">
        <v>29</v>
      </c>
    </row>
    <row r="34" spans="8:14" ht="14.25" thickTop="1" thickBot="1" x14ac:dyDescent="0.25">
      <c r="H34" s="210">
        <v>30</v>
      </c>
      <c r="J34" s="209">
        <v>30</v>
      </c>
    </row>
    <row r="35" spans="8:14" ht="14.25" thickTop="1" thickBot="1" x14ac:dyDescent="0.25">
      <c r="J35" s="210">
        <v>31</v>
      </c>
    </row>
    <row r="36" spans="8:14" ht="13.5" thickTop="1" x14ac:dyDescent="0.2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86</vt:i4>
      </vt:variant>
    </vt:vector>
  </HeadingPairs>
  <TitlesOfParts>
    <vt:vector size="99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2017-08-24T11:09:15Z</cp:lastPrinted>
  <dcterms:created xsi:type="dcterms:W3CDTF">1998-05-04T06:57:40Z</dcterms:created>
  <dcterms:modified xsi:type="dcterms:W3CDTF">2017-09-08T22:36:47Z</dcterms:modified>
</cp:coreProperties>
</file>