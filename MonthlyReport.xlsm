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-108" yWindow="-108" windowWidth="23256" windowHeight="12576" tabRatio="689" firstSheet="6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">'Shift Stats'!$E$5:$G$35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2" i="11" l="1"/>
  <c r="L31" i="16" l="1"/>
  <c r="M31" i="16"/>
  <c r="L32" i="16"/>
  <c r="M32" i="16"/>
  <c r="L33" i="16"/>
  <c r="M33" i="16"/>
  <c r="L34" i="16"/>
  <c r="M34" i="16"/>
  <c r="L35" i="16"/>
  <c r="M35" i="16"/>
  <c r="L36" i="16"/>
  <c r="M36" i="16"/>
  <c r="L30" i="16"/>
  <c r="M30" i="16"/>
  <c r="K30" i="16"/>
  <c r="K31" i="16"/>
  <c r="K32" i="16"/>
  <c r="K33" i="16"/>
  <c r="K34" i="16"/>
  <c r="K35" i="16"/>
  <c r="K36" i="16"/>
  <c r="L11" i="16"/>
  <c r="M11" i="16"/>
  <c r="L6" i="16"/>
  <c r="M6" i="16"/>
  <c r="L7" i="16"/>
  <c r="M7" i="16"/>
  <c r="L8" i="16"/>
  <c r="M8" i="16"/>
  <c r="L9" i="16"/>
  <c r="M9" i="16"/>
  <c r="L10" i="16"/>
  <c r="M10" i="16"/>
  <c r="L5" i="16"/>
  <c r="M5" i="16"/>
  <c r="K11" i="16"/>
  <c r="K6" i="16"/>
  <c r="K7" i="16"/>
  <c r="K8" i="16"/>
  <c r="K9" i="16"/>
  <c r="K10" i="16"/>
  <c r="K5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6" i="16"/>
  <c r="D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5" i="16"/>
  <c r="C3" i="16" l="1"/>
  <c r="N9" i="16" l="1"/>
  <c r="N5" i="16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<sst xmlns="http://schemas.openxmlformats.org/spreadsheetml/2006/main" count="279" uniqueCount="126">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</sst>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0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37" fillId="0" borderId="0" xfId="0" applyFont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515016"/>
        <c:axId val="278619008"/>
      </c:barChart>
      <c:catAx>
        <c:axId val="28051501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86190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786190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51501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790424"/>
        <c:axId val="302956000"/>
      </c:barChart>
      <c:catAx>
        <c:axId val="28079042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9560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9560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7904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617880"/>
        <c:axId val="302618272"/>
      </c:barChart>
      <c:catAx>
        <c:axId val="30261788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6182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618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6178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616704"/>
        <c:axId val="302620232"/>
      </c:barChart>
      <c:catAx>
        <c:axId val="30261670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6202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620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61670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617096"/>
        <c:axId val="302617488"/>
      </c:barChart>
      <c:catAx>
        <c:axId val="302617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1748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61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618664"/>
        <c:axId val="302619448"/>
      </c:barChart>
      <c:catAx>
        <c:axId val="30261866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619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619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6186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619840"/>
        <c:axId val="302621016"/>
      </c:barChart>
      <c:catAx>
        <c:axId val="3026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21016"/>
        <c:crosses val="autoZero"/>
        <c:auto val="1"/>
        <c:lblAlgn val="ctr"/>
        <c:lblOffset val="100"/>
        <c:noMultiLvlLbl val="0"/>
      </c:catAx>
      <c:valAx>
        <c:axId val="30262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1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619056"/>
        <c:axId val="302622192"/>
      </c:scatterChart>
      <c:valAx>
        <c:axId val="30261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22192"/>
        <c:crosses val="autoZero"/>
        <c:crossBetween val="midCat"/>
      </c:valAx>
      <c:valAx>
        <c:axId val="30262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1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622976"/>
        <c:axId val="304651792"/>
      </c:barChart>
      <c:catAx>
        <c:axId val="30262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651792"/>
        <c:crosses val="autoZero"/>
        <c:auto val="1"/>
        <c:lblAlgn val="ctr"/>
        <c:lblOffset val="100"/>
        <c:noMultiLvlLbl val="0"/>
      </c:catAx>
      <c:valAx>
        <c:axId val="30465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2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652184"/>
        <c:axId val="304655712"/>
      </c:barChart>
      <c:catAx>
        <c:axId val="304652184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65571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4655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6521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650224"/>
        <c:axId val="304654928"/>
      </c:barChart>
      <c:catAx>
        <c:axId val="30465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654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4654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46502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>
          <a:extLst>
            <a:ext uri="{FF2B5EF4-FFF2-40B4-BE49-F238E27FC236}">
              <a16:creationId xmlns=""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>
          <a:extLst>
            <a:ext uri="{FF2B5EF4-FFF2-40B4-BE49-F238E27FC236}">
              <a16:creationId xmlns=""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>
          <a:extLst>
            <a:ext uri="{FF2B5EF4-FFF2-40B4-BE49-F238E27FC236}">
              <a16:creationId xmlns=""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>
          <a:extLst>
            <a:ext uri="{FF2B5EF4-FFF2-40B4-BE49-F238E27FC236}">
              <a16:creationId xmlns=""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>
          <a:extLst>
            <a:ext uri="{FF2B5EF4-FFF2-40B4-BE49-F238E27FC236}">
              <a16:creationId xmlns="" xmlns:a16="http://schemas.microsoft.com/office/drawing/2014/main" id="{00000000-0008-0000-05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>
          <a:extLst>
            <a:ext uri="{FF2B5EF4-FFF2-40B4-BE49-F238E27FC236}">
              <a16:creationId xmlns="" xmlns:a16="http://schemas.microsoft.com/office/drawing/2014/main" id="{00000000-0008-0000-07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>
          <a:extLst>
            <a:ext uri="{FF2B5EF4-FFF2-40B4-BE49-F238E27FC236}">
              <a16:creationId xmlns="" xmlns:a16="http://schemas.microsoft.com/office/drawing/2014/main" id="{00000000-0008-0000-0A00-000002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="" xmlns:a16="http://schemas.microsoft.com/office/drawing/2014/main" id="{00000000-0008-0000-0C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39</xdr:row>
          <xdr:rowOff>0</xdr:rowOff>
        </xdr:from>
        <xdr:to>
          <xdr:col>6</xdr:col>
          <xdr:colOff>350520</xdr:colOff>
          <xdr:row>40</xdr:row>
          <xdr:rowOff>114300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="" xmlns:a16="http://schemas.microsoft.com/office/drawing/2014/main" id="{00000000-0008-0000-0C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="" xmlns:a16="http://schemas.microsoft.com/office/drawing/2014/main" id="{00000000-0008-0000-0C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75</xdr:row>
          <xdr:rowOff>0</xdr:rowOff>
        </xdr:from>
        <xdr:to>
          <xdr:col>6</xdr:col>
          <xdr:colOff>365760</xdr:colOff>
          <xdr:row>76</xdr:row>
          <xdr:rowOff>121920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="" xmlns:a16="http://schemas.microsoft.com/office/drawing/2014/main" id="{00000000-0008-0000-0C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="" xmlns:a16="http://schemas.microsoft.com/office/drawing/2014/main" id="{00000000-0008-0000-0C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="" xmlns:a16="http://schemas.microsoft.com/office/drawing/2014/main" id="{00000000-0008-0000-0C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49" t="str">
        <f>"AMOUNT OF FRUIT CONFISCATED AT " &amp; Location &amp; " (kg)"</f>
        <v>AMOUNT OF FRUIT CONFISCATED AT OODLA WIRRA (kg)</v>
      </c>
      <c r="C2" s="350"/>
      <c r="D2" s="350"/>
      <c r="E2" s="350"/>
      <c r="F2" s="350"/>
      <c r="G2" s="350"/>
      <c r="H2" s="350"/>
      <c r="I2" s="350"/>
      <c r="J2" s="351"/>
      <c r="K2" s="351"/>
      <c r="L2" s="352"/>
    </row>
    <row r="3" spans="2:13" ht="16.2" thickBot="1" x14ac:dyDescent="0.35">
      <c r="B3" s="353" t="str">
        <f>Month &amp;  " " &amp; Year</f>
        <v>July 2021</v>
      </c>
      <c r="C3" s="354"/>
      <c r="D3" s="354"/>
      <c r="E3" s="354"/>
      <c r="F3" s="354"/>
      <c r="G3" s="354"/>
      <c r="H3" s="354"/>
      <c r="I3" s="354"/>
      <c r="J3" s="355"/>
      <c r="K3" s="355"/>
      <c r="L3" s="356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57" t="str">
        <f>"COMMERCIAL VEHICLES PASSING THROUGH " &amp; Location</f>
        <v>COMMERCIAL VEHICLES PASSING THROUGH OODLA WIRRA</v>
      </c>
      <c r="C2" s="358"/>
      <c r="D2" s="358"/>
      <c r="E2" s="358"/>
      <c r="F2" s="358"/>
      <c r="G2" s="358"/>
      <c r="H2" s="358"/>
      <c r="I2" s="359"/>
    </row>
    <row r="3" spans="2:9" ht="22.95" customHeight="1" thickBot="1" x14ac:dyDescent="0.3">
      <c r="B3" s="360" t="str">
        <f>Month &amp; " " &amp; Year</f>
        <v>July 2021</v>
      </c>
      <c r="C3" s="361"/>
      <c r="D3" s="361"/>
      <c r="E3" s="361"/>
      <c r="F3" s="361"/>
      <c r="G3" s="361"/>
      <c r="H3" s="361"/>
      <c r="I3" s="362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3" t="str">
        <f xml:space="preserve"> "CARS PASSING THROUGH " &amp; Location</f>
        <v>CARS PASSING THROUGH OODLA WIRRA</v>
      </c>
      <c r="C2" s="364"/>
      <c r="D2" s="364"/>
      <c r="E2" s="364"/>
      <c r="F2" s="364"/>
      <c r="G2" s="364"/>
      <c r="H2" s="364"/>
      <c r="I2" s="365"/>
    </row>
    <row r="3" spans="2:9" ht="18" thickBot="1" x14ac:dyDescent="0.3">
      <c r="B3" s="366" t="str">
        <f>Month &amp; " " &amp; Year</f>
        <v>July 2021</v>
      </c>
      <c r="C3" s="367"/>
      <c r="D3" s="367"/>
      <c r="E3" s="367"/>
      <c r="F3" s="367"/>
      <c r="G3" s="367"/>
      <c r="H3" s="367"/>
      <c r="I3" s="368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66" t="e">
        <f>#REF!&amp; " " &amp;#REF!</f>
        <v>#REF!</v>
      </c>
      <c r="B2" s="367"/>
      <c r="C2" s="367"/>
      <c r="D2" s="367"/>
      <c r="E2" s="367"/>
      <c r="F2" s="367"/>
      <c r="G2" s="367"/>
      <c r="H2" s="368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3" t="str">
        <f xml:space="preserve"> "CARAVANS &amp; CAMPERS PASSING THROUGH " &amp; Location</f>
        <v>CARAVANS &amp; CAMPERS PASSING THROUGH OODLA WIRRA</v>
      </c>
      <c r="C2" s="364"/>
      <c r="D2" s="364"/>
      <c r="E2" s="364"/>
      <c r="F2" s="364"/>
      <c r="G2" s="364"/>
      <c r="H2" s="364"/>
      <c r="I2" s="365"/>
    </row>
    <row r="3" spans="2:9" ht="18" thickBot="1" x14ac:dyDescent="0.3">
      <c r="B3" s="366" t="str">
        <f>Month &amp; " " &amp; Year</f>
        <v>July 2021</v>
      </c>
      <c r="C3" s="367"/>
      <c r="D3" s="367"/>
      <c r="E3" s="367"/>
      <c r="F3" s="367"/>
      <c r="G3" s="367"/>
      <c r="H3" s="367"/>
      <c r="I3" s="368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3" t="str">
        <f>"VEHICLES PASSING THROUGH " &amp; Location &amp; " - MIDNIGHT SHIFT "</f>
        <v xml:space="preserve">VEHICLES PASSING THROUGH OODLA WIRRA - MIDNIGHT SHIFT </v>
      </c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69"/>
    </row>
    <row r="3" spans="2:14" ht="16.2" thickBot="1" x14ac:dyDescent="0.3">
      <c r="B3" s="360" t="str">
        <f>Month &amp; " " &amp; Year</f>
        <v>July 2021</v>
      </c>
      <c r="C3" s="361"/>
      <c r="D3" s="361"/>
      <c r="E3" s="361"/>
      <c r="F3" s="361"/>
      <c r="G3" s="361"/>
      <c r="H3" s="361"/>
      <c r="I3" s="361"/>
      <c r="J3" s="361"/>
      <c r="K3" s="361"/>
      <c r="L3" s="361"/>
      <c r="M3" s="361"/>
      <c r="N3" s="362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B2:N65"/>
  <sheetViews>
    <sheetView showGridLines="0" showRowColHeaders="0" tabSelected="1" zoomScaleNormal="100" workbookViewId="0">
      <selection activeCell="E5" sqref="E5"/>
    </sheetView>
  </sheetViews>
  <sheetFormatPr defaultRowHeight="13.2" x14ac:dyDescent="0.25"/>
  <cols>
    <col min="1" max="1" width="2.88671875" customWidth="1"/>
    <col min="2" max="2" width="4.44140625" style="348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79" t="str">
        <f>Location&amp;" - Traffic Volumes per Shift - "&amp; Month &amp; " " &amp; Year</f>
        <v>OODLA WIRRA - Traffic Volumes per Shift - July 2021</v>
      </c>
      <c r="D3" s="380"/>
      <c r="E3" s="380"/>
      <c r="F3" s="380"/>
      <c r="G3" s="380"/>
      <c r="H3" s="381"/>
      <c r="J3" s="376" t="s">
        <v>119</v>
      </c>
      <c r="K3" s="377"/>
      <c r="L3" s="377"/>
      <c r="M3" s="377"/>
      <c r="N3" s="378"/>
    </row>
    <row r="4" spans="2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2:14" ht="15" x14ac:dyDescent="0.25">
      <c r="B5" s="348" t="str">
        <f t="shared" ref="B5:B35" si="0">TEXT(DATE(Year,MONTH(1&amp;Month),DateShiftStats),"dddd")</f>
        <v>Thursday</v>
      </c>
      <c r="C5" s="345">
        <v>1</v>
      </c>
      <c r="D5" s="347">
        <f t="shared" ref="D5:D35" si="1">(DATE(Year,MONTH(1&amp;Month),DateShiftStats))</f>
        <v>44378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>SUMIF($B$5:$B$35,$J5,E$5:E$35)</f>
        <v>0</v>
      </c>
      <c r="L5" s="328">
        <f t="shared" ref="L5:M5" si="2">SUMIF($B$5:$B$35,$J5,F$5:F$35)</f>
        <v>0</v>
      </c>
      <c r="M5" s="328">
        <f t="shared" si="2"/>
        <v>0</v>
      </c>
      <c r="N5" s="329">
        <f>SUM(K5:M5)</f>
        <v>0</v>
      </c>
    </row>
    <row r="6" spans="2:14" ht="15" x14ac:dyDescent="0.25">
      <c r="B6" s="348" t="str">
        <f t="shared" si="0"/>
        <v>Friday</v>
      </c>
      <c r="C6" s="345">
        <v>2</v>
      </c>
      <c r="D6" s="347">
        <f t="shared" si="1"/>
        <v>44379</v>
      </c>
      <c r="E6" s="282">
        <v>0</v>
      </c>
      <c r="F6" s="271">
        <v>0</v>
      </c>
      <c r="G6" s="283">
        <v>0</v>
      </c>
      <c r="H6" s="277">
        <f t="shared" ref="H6:H35" si="3">SUM(E6:G6)</f>
        <v>0</v>
      </c>
      <c r="J6" s="321" t="s">
        <v>113</v>
      </c>
      <c r="K6" s="328">
        <f>SUMIF($B$5:$B$35,$J6,E$5:E$35)</f>
        <v>0</v>
      </c>
      <c r="L6" s="328">
        <f t="shared" ref="L6:L10" si="4">SUMIF($B$5:$B$35,$J6,F$5:F$35)</f>
        <v>0</v>
      </c>
      <c r="M6" s="328">
        <f t="shared" ref="M6:M10" si="5">SUMIF($B$5:$B$35,$J6,G$5:G$35)</f>
        <v>0</v>
      </c>
      <c r="N6" s="330">
        <f t="shared" ref="N6:N11" si="6">SUM(K6:M6)</f>
        <v>0</v>
      </c>
    </row>
    <row r="7" spans="2:14" ht="15" x14ac:dyDescent="0.25">
      <c r="B7" s="348" t="str">
        <f t="shared" si="0"/>
        <v>Saturday</v>
      </c>
      <c r="C7" s="345">
        <v>3</v>
      </c>
      <c r="D7" s="347">
        <f t="shared" si="1"/>
        <v>44380</v>
      </c>
      <c r="E7" s="282">
        <v>0</v>
      </c>
      <c r="F7" s="271">
        <v>0</v>
      </c>
      <c r="G7" s="283">
        <v>0</v>
      </c>
      <c r="H7" s="277">
        <f t="shared" si="3"/>
        <v>0</v>
      </c>
      <c r="J7" s="321" t="s">
        <v>114</v>
      </c>
      <c r="K7" s="328">
        <f t="shared" ref="K7:K10" si="7">SUMIF($B$5:$B$35,$J7,E$5:E$35)</f>
        <v>0</v>
      </c>
      <c r="L7" s="328">
        <f t="shared" si="4"/>
        <v>0</v>
      </c>
      <c r="M7" s="328">
        <f t="shared" si="5"/>
        <v>0</v>
      </c>
      <c r="N7" s="330">
        <f t="shared" si="6"/>
        <v>0</v>
      </c>
    </row>
    <row r="8" spans="2:14" ht="15" x14ac:dyDescent="0.25">
      <c r="B8" s="348" t="str">
        <f t="shared" si="0"/>
        <v>Sunday</v>
      </c>
      <c r="C8" s="345">
        <v>4</v>
      </c>
      <c r="D8" s="347">
        <f t="shared" si="1"/>
        <v>44381</v>
      </c>
      <c r="E8" s="282">
        <v>0</v>
      </c>
      <c r="F8" s="271">
        <v>0</v>
      </c>
      <c r="G8" s="283">
        <v>0</v>
      </c>
      <c r="H8" s="277">
        <f t="shared" si="3"/>
        <v>0</v>
      </c>
      <c r="J8" s="321" t="s">
        <v>115</v>
      </c>
      <c r="K8" s="328">
        <f t="shared" si="7"/>
        <v>0</v>
      </c>
      <c r="L8" s="328">
        <f t="shared" si="4"/>
        <v>0</v>
      </c>
      <c r="M8" s="328">
        <f t="shared" si="5"/>
        <v>0</v>
      </c>
      <c r="N8" s="330">
        <f t="shared" si="6"/>
        <v>0</v>
      </c>
    </row>
    <row r="9" spans="2:14" ht="15" x14ac:dyDescent="0.25">
      <c r="B9" s="348" t="str">
        <f t="shared" si="0"/>
        <v>Monday</v>
      </c>
      <c r="C9" s="345">
        <v>5</v>
      </c>
      <c r="D9" s="347">
        <f t="shared" si="1"/>
        <v>44382</v>
      </c>
      <c r="E9" s="282">
        <v>0</v>
      </c>
      <c r="F9" s="271">
        <v>0</v>
      </c>
      <c r="G9" s="283">
        <v>0</v>
      </c>
      <c r="H9" s="277">
        <f t="shared" si="3"/>
        <v>0</v>
      </c>
      <c r="J9" s="321" t="s">
        <v>116</v>
      </c>
      <c r="K9" s="328">
        <f t="shared" si="7"/>
        <v>0</v>
      </c>
      <c r="L9" s="328">
        <f t="shared" si="4"/>
        <v>0</v>
      </c>
      <c r="M9" s="328">
        <f t="shared" si="5"/>
        <v>0</v>
      </c>
      <c r="N9" s="330">
        <f t="shared" si="6"/>
        <v>0</v>
      </c>
    </row>
    <row r="10" spans="2:14" ht="15" x14ac:dyDescent="0.25">
      <c r="B10" s="348" t="str">
        <f t="shared" si="0"/>
        <v>Tuesday</v>
      </c>
      <c r="C10" s="345">
        <v>6</v>
      </c>
      <c r="D10" s="347">
        <f t="shared" si="1"/>
        <v>44383</v>
      </c>
      <c r="E10" s="282">
        <v>0</v>
      </c>
      <c r="F10" s="271">
        <v>0</v>
      </c>
      <c r="G10" s="283">
        <v>0</v>
      </c>
      <c r="H10" s="277">
        <f t="shared" si="3"/>
        <v>0</v>
      </c>
      <c r="J10" s="321" t="s">
        <v>117</v>
      </c>
      <c r="K10" s="328">
        <f t="shared" si="7"/>
        <v>0</v>
      </c>
      <c r="L10" s="328">
        <f t="shared" si="4"/>
        <v>0</v>
      </c>
      <c r="M10" s="328">
        <f t="shared" si="5"/>
        <v>0</v>
      </c>
      <c r="N10" s="330">
        <f t="shared" si="6"/>
        <v>0</v>
      </c>
    </row>
    <row r="11" spans="2:14" ht="15.6" thickBot="1" x14ac:dyDescent="0.3">
      <c r="B11" s="348" t="str">
        <f t="shared" si="0"/>
        <v>Wednesday</v>
      </c>
      <c r="C11" s="345">
        <v>7</v>
      </c>
      <c r="D11" s="347">
        <f t="shared" si="1"/>
        <v>44384</v>
      </c>
      <c r="E11" s="282">
        <v>0</v>
      </c>
      <c r="F11" s="271">
        <v>0</v>
      </c>
      <c r="G11" s="283">
        <v>0</v>
      </c>
      <c r="H11" s="277">
        <f t="shared" si="3"/>
        <v>0</v>
      </c>
      <c r="J11" s="323" t="s">
        <v>118</v>
      </c>
      <c r="K11" s="328">
        <f>SUMIF($B$5:$B$35,$J11,E$5:E$35)</f>
        <v>0</v>
      </c>
      <c r="L11" s="328">
        <f>SUMIF($B$5:$B$35,$J11,F$5:F$35)</f>
        <v>0</v>
      </c>
      <c r="M11" s="328">
        <f>SUMIF($B$5:$B$35,$J11,G$5:G$35)</f>
        <v>0</v>
      </c>
      <c r="N11" s="331">
        <f t="shared" si="6"/>
        <v>0</v>
      </c>
    </row>
    <row r="12" spans="2:14" ht="15.6" thickBot="1" x14ac:dyDescent="0.3">
      <c r="B12" s="348" t="str">
        <f t="shared" si="0"/>
        <v>Thursday</v>
      </c>
      <c r="C12" s="345">
        <v>8</v>
      </c>
      <c r="D12" s="347">
        <f t="shared" si="1"/>
        <v>44385</v>
      </c>
      <c r="E12" s="282">
        <v>0</v>
      </c>
      <c r="F12" s="271">
        <v>0</v>
      </c>
      <c r="G12" s="283">
        <v>0</v>
      </c>
      <c r="H12" s="277">
        <f t="shared" si="3"/>
        <v>0</v>
      </c>
      <c r="J12" s="324" t="s">
        <v>120</v>
      </c>
      <c r="K12" s="332">
        <f>SUM(K5:K11)</f>
        <v>0</v>
      </c>
      <c r="L12" s="333">
        <f t="shared" ref="L12:M12" si="8">SUM(L5:L11)</f>
        <v>0</v>
      </c>
      <c r="M12" s="334">
        <f t="shared" si="8"/>
        <v>0</v>
      </c>
      <c r="N12" s="335">
        <f>SUM(K12:M12)</f>
        <v>0</v>
      </c>
    </row>
    <row r="13" spans="2:14" ht="15" x14ac:dyDescent="0.25">
      <c r="B13" s="348" t="str">
        <f t="shared" si="0"/>
        <v>Friday</v>
      </c>
      <c r="C13" s="345">
        <v>9</v>
      </c>
      <c r="D13" s="347">
        <f t="shared" si="1"/>
        <v>44386</v>
      </c>
      <c r="E13" s="282">
        <v>0</v>
      </c>
      <c r="F13" s="271">
        <v>0</v>
      </c>
      <c r="G13" s="283">
        <v>0</v>
      </c>
      <c r="H13" s="277">
        <f t="shared" si="3"/>
        <v>0</v>
      </c>
    </row>
    <row r="14" spans="2:14" ht="15" x14ac:dyDescent="0.25">
      <c r="B14" s="348" t="str">
        <f t="shared" si="0"/>
        <v>Saturday</v>
      </c>
      <c r="C14" s="345">
        <v>10</v>
      </c>
      <c r="D14" s="347">
        <f t="shared" si="1"/>
        <v>44387</v>
      </c>
      <c r="E14" s="282">
        <v>0</v>
      </c>
      <c r="F14" s="271">
        <v>0</v>
      </c>
      <c r="G14" s="283">
        <v>0</v>
      </c>
      <c r="H14" s="277">
        <f t="shared" si="3"/>
        <v>0</v>
      </c>
    </row>
    <row r="15" spans="2:14" ht="15" x14ac:dyDescent="0.25">
      <c r="B15" s="348" t="str">
        <f t="shared" si="0"/>
        <v>Sunday</v>
      </c>
      <c r="C15" s="345">
        <v>11</v>
      </c>
      <c r="D15" s="347">
        <f t="shared" si="1"/>
        <v>44388</v>
      </c>
      <c r="E15" s="282">
        <v>0</v>
      </c>
      <c r="F15" s="271">
        <v>0</v>
      </c>
      <c r="G15" s="283">
        <v>0</v>
      </c>
      <c r="H15" s="277">
        <f t="shared" si="3"/>
        <v>0</v>
      </c>
    </row>
    <row r="16" spans="2:14" ht="15" x14ac:dyDescent="0.25">
      <c r="B16" s="348" t="str">
        <f t="shared" si="0"/>
        <v>Monday</v>
      </c>
      <c r="C16" s="345">
        <v>12</v>
      </c>
      <c r="D16" s="347">
        <f t="shared" si="1"/>
        <v>44389</v>
      </c>
      <c r="E16" s="282">
        <v>0</v>
      </c>
      <c r="F16" s="271">
        <v>0</v>
      </c>
      <c r="G16" s="283">
        <v>0</v>
      </c>
      <c r="H16" s="277">
        <f t="shared" si="3"/>
        <v>0</v>
      </c>
    </row>
    <row r="17" spans="2:14" ht="15" x14ac:dyDescent="0.25">
      <c r="B17" s="348" t="str">
        <f t="shared" si="0"/>
        <v>Tuesday</v>
      </c>
      <c r="C17" s="345">
        <v>13</v>
      </c>
      <c r="D17" s="347">
        <f t="shared" si="1"/>
        <v>44390</v>
      </c>
      <c r="E17" s="282">
        <v>0</v>
      </c>
      <c r="F17" s="271">
        <v>0</v>
      </c>
      <c r="G17" s="283">
        <v>0</v>
      </c>
      <c r="H17" s="277">
        <f t="shared" si="3"/>
        <v>0</v>
      </c>
    </row>
    <row r="18" spans="2:14" ht="15" x14ac:dyDescent="0.25">
      <c r="B18" s="348" t="str">
        <f t="shared" si="0"/>
        <v>Wednesday</v>
      </c>
      <c r="C18" s="345">
        <v>14</v>
      </c>
      <c r="D18" s="347">
        <f t="shared" si="1"/>
        <v>44391</v>
      </c>
      <c r="E18" s="282">
        <v>0</v>
      </c>
      <c r="F18" s="271">
        <v>0</v>
      </c>
      <c r="G18" s="283">
        <v>0</v>
      </c>
      <c r="H18" s="277">
        <f t="shared" si="3"/>
        <v>0</v>
      </c>
    </row>
    <row r="19" spans="2:14" ht="15" x14ac:dyDescent="0.25">
      <c r="B19" s="348" t="str">
        <f t="shared" si="0"/>
        <v>Thursday</v>
      </c>
      <c r="C19" s="345">
        <v>15</v>
      </c>
      <c r="D19" s="347">
        <f t="shared" si="1"/>
        <v>44392</v>
      </c>
      <c r="E19" s="282">
        <v>0</v>
      </c>
      <c r="F19" s="271">
        <v>0</v>
      </c>
      <c r="G19" s="283">
        <v>0</v>
      </c>
      <c r="H19" s="277">
        <f t="shared" si="3"/>
        <v>0</v>
      </c>
    </row>
    <row r="20" spans="2:14" ht="15" x14ac:dyDescent="0.25">
      <c r="B20" s="348" t="str">
        <f t="shared" si="0"/>
        <v>Friday</v>
      </c>
      <c r="C20" s="345">
        <v>16</v>
      </c>
      <c r="D20" s="347">
        <f t="shared" si="1"/>
        <v>44393</v>
      </c>
      <c r="E20" s="282">
        <v>0</v>
      </c>
      <c r="F20" s="271">
        <v>0</v>
      </c>
      <c r="G20" s="283">
        <v>0</v>
      </c>
      <c r="H20" s="277">
        <f t="shared" si="3"/>
        <v>0</v>
      </c>
    </row>
    <row r="21" spans="2:14" ht="15" x14ac:dyDescent="0.25">
      <c r="B21" s="348" t="str">
        <f t="shared" si="0"/>
        <v>Saturday</v>
      </c>
      <c r="C21" s="345">
        <v>17</v>
      </c>
      <c r="D21" s="347">
        <f t="shared" si="1"/>
        <v>44394</v>
      </c>
      <c r="E21" s="282">
        <v>0</v>
      </c>
      <c r="F21" s="271">
        <v>0</v>
      </c>
      <c r="G21" s="283">
        <v>0</v>
      </c>
      <c r="H21" s="277">
        <f t="shared" si="3"/>
        <v>0</v>
      </c>
    </row>
    <row r="22" spans="2:14" ht="15" x14ac:dyDescent="0.25">
      <c r="B22" s="348" t="str">
        <f t="shared" si="0"/>
        <v>Sunday</v>
      </c>
      <c r="C22" s="345">
        <v>18</v>
      </c>
      <c r="D22" s="347">
        <f t="shared" si="1"/>
        <v>44395</v>
      </c>
      <c r="E22" s="282">
        <v>0</v>
      </c>
      <c r="F22" s="271">
        <v>0</v>
      </c>
      <c r="G22" s="283">
        <v>0</v>
      </c>
      <c r="H22" s="277">
        <f t="shared" si="3"/>
        <v>0</v>
      </c>
    </row>
    <row r="23" spans="2:14" ht="15" x14ac:dyDescent="0.25">
      <c r="B23" s="348" t="str">
        <f t="shared" si="0"/>
        <v>Monday</v>
      </c>
      <c r="C23" s="345">
        <v>19</v>
      </c>
      <c r="D23" s="347">
        <f t="shared" si="1"/>
        <v>44396</v>
      </c>
      <c r="E23" s="282">
        <v>0</v>
      </c>
      <c r="F23" s="271">
        <v>0</v>
      </c>
      <c r="G23" s="283">
        <v>0</v>
      </c>
      <c r="H23" s="277">
        <f t="shared" si="3"/>
        <v>0</v>
      </c>
    </row>
    <row r="24" spans="2:14" ht="15" x14ac:dyDescent="0.25">
      <c r="B24" s="348" t="str">
        <f t="shared" si="0"/>
        <v>Tuesday</v>
      </c>
      <c r="C24" s="345">
        <v>20</v>
      </c>
      <c r="D24" s="347">
        <f t="shared" si="1"/>
        <v>44397</v>
      </c>
      <c r="E24" s="282">
        <v>0</v>
      </c>
      <c r="F24" s="271">
        <v>0</v>
      </c>
      <c r="G24" s="283">
        <v>0</v>
      </c>
      <c r="H24" s="277">
        <f t="shared" si="3"/>
        <v>0</v>
      </c>
    </row>
    <row r="25" spans="2:14" ht="15" x14ac:dyDescent="0.25">
      <c r="B25" s="348" t="str">
        <f t="shared" si="0"/>
        <v>Wednesday</v>
      </c>
      <c r="C25" s="345">
        <v>21</v>
      </c>
      <c r="D25" s="347">
        <f t="shared" si="1"/>
        <v>44398</v>
      </c>
      <c r="E25" s="282">
        <v>0</v>
      </c>
      <c r="F25" s="271">
        <v>0</v>
      </c>
      <c r="G25" s="283">
        <v>0</v>
      </c>
      <c r="H25" s="277">
        <f t="shared" si="3"/>
        <v>0</v>
      </c>
    </row>
    <row r="26" spans="2:14" ht="15.6" thickBot="1" x14ac:dyDescent="0.3">
      <c r="B26" s="348" t="str">
        <f t="shared" si="0"/>
        <v>Thursday</v>
      </c>
      <c r="C26" s="345">
        <v>22</v>
      </c>
      <c r="D26" s="347">
        <f t="shared" si="1"/>
        <v>44399</v>
      </c>
      <c r="E26" s="282">
        <v>0</v>
      </c>
      <c r="F26" s="271">
        <v>0</v>
      </c>
      <c r="G26" s="283">
        <v>0</v>
      </c>
      <c r="H26" s="277">
        <f t="shared" si="3"/>
        <v>0</v>
      </c>
    </row>
    <row r="27" spans="2:14" ht="16.5" customHeight="1" x14ac:dyDescent="0.25">
      <c r="B27" s="348" t="str">
        <f t="shared" si="0"/>
        <v>Friday</v>
      </c>
      <c r="C27" s="345">
        <v>23</v>
      </c>
      <c r="D27" s="347">
        <f t="shared" si="1"/>
        <v>44400</v>
      </c>
      <c r="E27" s="282">
        <v>0</v>
      </c>
      <c r="F27" s="271">
        <v>0</v>
      </c>
      <c r="G27" s="283">
        <v>0</v>
      </c>
      <c r="H27" s="277">
        <f t="shared" si="3"/>
        <v>0</v>
      </c>
      <c r="J27" s="370" t="s">
        <v>121</v>
      </c>
      <c r="K27" s="371"/>
      <c r="L27" s="371"/>
      <c r="M27" s="371"/>
      <c r="N27" s="372"/>
    </row>
    <row r="28" spans="2:14" ht="16.5" customHeight="1" thickBot="1" x14ac:dyDescent="0.3">
      <c r="B28" s="348" t="str">
        <f t="shared" si="0"/>
        <v>Saturday</v>
      </c>
      <c r="C28" s="345">
        <v>24</v>
      </c>
      <c r="D28" s="347">
        <f t="shared" si="1"/>
        <v>44401</v>
      </c>
      <c r="E28" s="282">
        <v>0</v>
      </c>
      <c r="F28" s="271">
        <v>0</v>
      </c>
      <c r="G28" s="283">
        <v>0</v>
      </c>
      <c r="H28" s="277">
        <f t="shared" si="3"/>
        <v>0</v>
      </c>
      <c r="J28" s="373"/>
      <c r="K28" s="374"/>
      <c r="L28" s="374"/>
      <c r="M28" s="374"/>
      <c r="N28" s="375"/>
    </row>
    <row r="29" spans="2:14" ht="15.75" customHeight="1" thickBot="1" x14ac:dyDescent="0.3">
      <c r="B29" s="348" t="str">
        <f t="shared" si="0"/>
        <v>Sunday</v>
      </c>
      <c r="C29" s="345">
        <v>25</v>
      </c>
      <c r="D29" s="347">
        <f t="shared" si="1"/>
        <v>44402</v>
      </c>
      <c r="E29" s="282">
        <v>0</v>
      </c>
      <c r="F29" s="271">
        <v>0</v>
      </c>
      <c r="G29" s="283">
        <v>0</v>
      </c>
      <c r="H29" s="277">
        <f t="shared" si="3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2:14" ht="16.2" thickBot="1" x14ac:dyDescent="0.35">
      <c r="B30" s="348" t="str">
        <f t="shared" si="0"/>
        <v>Monday</v>
      </c>
      <c r="C30" s="345">
        <v>26</v>
      </c>
      <c r="D30" s="347">
        <f t="shared" si="1"/>
        <v>44403</v>
      </c>
      <c r="E30" s="282">
        <v>0</v>
      </c>
      <c r="F30" s="271">
        <v>0</v>
      </c>
      <c r="G30" s="283">
        <v>0</v>
      </c>
      <c r="H30" s="277">
        <f t="shared" si="3"/>
        <v>0</v>
      </c>
      <c r="J30" s="336" t="s">
        <v>112</v>
      </c>
      <c r="K30" s="339">
        <f>AVERAGEIF($B$5:$B$35,$J30,E$5:E$35)</f>
        <v>0</v>
      </c>
      <c r="L30" s="339">
        <f t="shared" ref="L30:M30" si="9">AVERAGEIF($B$5:$B$35,$J30,F$5:F$35)</f>
        <v>0</v>
      </c>
      <c r="M30" s="339">
        <f t="shared" si="9"/>
        <v>0</v>
      </c>
      <c r="N30" s="341">
        <f>AVERAGE(K30:M30)</f>
        <v>0</v>
      </c>
    </row>
    <row r="31" spans="2:14" ht="16.2" thickBot="1" x14ac:dyDescent="0.35">
      <c r="B31" s="348" t="str">
        <f t="shared" si="0"/>
        <v>Tuesday</v>
      </c>
      <c r="C31" s="345">
        <v>27</v>
      </c>
      <c r="D31" s="347">
        <f t="shared" si="1"/>
        <v>44404</v>
      </c>
      <c r="E31" s="282">
        <v>0</v>
      </c>
      <c r="F31" s="271">
        <v>0</v>
      </c>
      <c r="G31" s="283">
        <v>0</v>
      </c>
      <c r="H31" s="277">
        <f t="shared" si="3"/>
        <v>0</v>
      </c>
      <c r="J31" s="337" t="s">
        <v>113</v>
      </c>
      <c r="K31" s="339">
        <f t="shared" ref="K31:K36" si="10">AVERAGEIF(B$5:B$35,$J31,E$5:E$35)</f>
        <v>0</v>
      </c>
      <c r="L31" s="339">
        <f t="shared" ref="L31:L36" si="11">AVERAGEIF($B$5:$B$35,$J31,F$5:F$35)</f>
        <v>0</v>
      </c>
      <c r="M31" s="339">
        <f t="shared" ref="M31:M36" si="12">AVERAGEIF($B$5:$B$35,$J31,G$5:G$35)</f>
        <v>0</v>
      </c>
      <c r="N31" s="342">
        <f>AVERAGE(K31:M31)</f>
        <v>0</v>
      </c>
    </row>
    <row r="32" spans="2:14" ht="16.2" thickBot="1" x14ac:dyDescent="0.35">
      <c r="B32" s="348" t="str">
        <f t="shared" si="0"/>
        <v>Wednesday</v>
      </c>
      <c r="C32" s="345">
        <v>28</v>
      </c>
      <c r="D32" s="347">
        <f t="shared" si="1"/>
        <v>44405</v>
      </c>
      <c r="E32" s="282">
        <v>0</v>
      </c>
      <c r="F32" s="271">
        <v>0</v>
      </c>
      <c r="G32" s="283">
        <v>0</v>
      </c>
      <c r="H32" s="277">
        <f t="shared" si="3"/>
        <v>0</v>
      </c>
      <c r="J32" s="337" t="s">
        <v>114</v>
      </c>
      <c r="K32" s="339">
        <f t="shared" si="10"/>
        <v>0</v>
      </c>
      <c r="L32" s="339">
        <f t="shared" si="11"/>
        <v>0</v>
      </c>
      <c r="M32" s="339">
        <f t="shared" si="12"/>
        <v>0</v>
      </c>
      <c r="N32" s="342">
        <f t="shared" ref="N32:N36" si="13">AVERAGE(K32:M32)</f>
        <v>0</v>
      </c>
    </row>
    <row r="33" spans="2:14" ht="16.2" thickBot="1" x14ac:dyDescent="0.35">
      <c r="B33" s="348" t="str">
        <f t="shared" si="0"/>
        <v>Thursday</v>
      </c>
      <c r="C33" s="345">
        <v>29</v>
      </c>
      <c r="D33" s="347">
        <f t="shared" si="1"/>
        <v>44406</v>
      </c>
      <c r="E33" s="282">
        <v>0</v>
      </c>
      <c r="F33" s="271">
        <v>0</v>
      </c>
      <c r="G33" s="283">
        <v>0</v>
      </c>
      <c r="H33" s="277">
        <f t="shared" si="3"/>
        <v>0</v>
      </c>
      <c r="J33" s="337" t="s">
        <v>115</v>
      </c>
      <c r="K33" s="339">
        <f t="shared" si="10"/>
        <v>0</v>
      </c>
      <c r="L33" s="339">
        <f t="shared" si="11"/>
        <v>0</v>
      </c>
      <c r="M33" s="339">
        <f t="shared" si="12"/>
        <v>0</v>
      </c>
      <c r="N33" s="342">
        <f t="shared" si="13"/>
        <v>0</v>
      </c>
    </row>
    <row r="34" spans="2:14" ht="16.2" thickBot="1" x14ac:dyDescent="0.35">
      <c r="B34" s="348" t="str">
        <f t="shared" si="0"/>
        <v>Friday</v>
      </c>
      <c r="C34" s="345">
        <v>30</v>
      </c>
      <c r="D34" s="347">
        <f t="shared" si="1"/>
        <v>44407</v>
      </c>
      <c r="E34" s="282">
        <v>0</v>
      </c>
      <c r="F34" s="271">
        <v>0</v>
      </c>
      <c r="G34" s="283">
        <v>0</v>
      </c>
      <c r="H34" s="277">
        <f t="shared" si="3"/>
        <v>0</v>
      </c>
      <c r="J34" s="337" t="s">
        <v>116</v>
      </c>
      <c r="K34" s="339">
        <f t="shared" si="10"/>
        <v>0</v>
      </c>
      <c r="L34" s="339">
        <f t="shared" si="11"/>
        <v>0</v>
      </c>
      <c r="M34" s="339">
        <f t="shared" si="12"/>
        <v>0</v>
      </c>
      <c r="N34" s="342">
        <f t="shared" si="13"/>
        <v>0</v>
      </c>
    </row>
    <row r="35" spans="2:14" ht="16.2" thickBot="1" x14ac:dyDescent="0.35">
      <c r="B35" s="348" t="str">
        <f t="shared" si="0"/>
        <v>Saturday</v>
      </c>
      <c r="C35" s="346">
        <v>31</v>
      </c>
      <c r="D35" s="347">
        <f t="shared" si="1"/>
        <v>44408</v>
      </c>
      <c r="E35" s="284">
        <v>0</v>
      </c>
      <c r="F35" s="272">
        <v>0</v>
      </c>
      <c r="G35" s="285">
        <v>0</v>
      </c>
      <c r="H35" s="278">
        <f t="shared" si="3"/>
        <v>0</v>
      </c>
      <c r="J35" s="337" t="s">
        <v>117</v>
      </c>
      <c r="K35" s="339">
        <f t="shared" si="10"/>
        <v>0</v>
      </c>
      <c r="L35" s="339">
        <f t="shared" si="11"/>
        <v>0</v>
      </c>
      <c r="M35" s="339">
        <f t="shared" si="12"/>
        <v>0</v>
      </c>
      <c r="N35" s="342">
        <f t="shared" si="13"/>
        <v>0</v>
      </c>
    </row>
    <row r="36" spans="2:14" ht="16.5" customHeight="1" thickBot="1" x14ac:dyDescent="0.35">
      <c r="C36" s="382" t="s">
        <v>124</v>
      </c>
      <c r="D36" s="383"/>
      <c r="E36" s="286">
        <f>SUM(E5:E35)</f>
        <v>0</v>
      </c>
      <c r="F36" s="287">
        <f t="shared" ref="F36:H36" si="14">SUM(F5:F35)</f>
        <v>0</v>
      </c>
      <c r="G36" s="288">
        <f t="shared" si="14"/>
        <v>0</v>
      </c>
      <c r="H36" s="289">
        <f t="shared" si="14"/>
        <v>0</v>
      </c>
      <c r="J36" s="338" t="s">
        <v>118</v>
      </c>
      <c r="K36" s="339">
        <f t="shared" si="10"/>
        <v>0</v>
      </c>
      <c r="L36" s="339">
        <f t="shared" si="11"/>
        <v>0</v>
      </c>
      <c r="M36" s="339">
        <f t="shared" si="12"/>
        <v>0</v>
      </c>
      <c r="N36" s="342">
        <f t="shared" si="13"/>
        <v>0</v>
      </c>
    </row>
    <row r="37" spans="2:14" ht="16.5" customHeight="1" thickBot="1" x14ac:dyDescent="0.35">
      <c r="D37" s="270"/>
      <c r="J37" s="340" t="s">
        <v>122</v>
      </c>
      <c r="K37" s="344">
        <f>AVERAGE(K30:K36)</f>
        <v>0</v>
      </c>
      <c r="L37" s="344">
        <f t="shared" ref="L37:M37" si="15">AVERAGE(L30:L36)</f>
        <v>0</v>
      </c>
      <c r="M37" s="344">
        <f t="shared" si="15"/>
        <v>0</v>
      </c>
      <c r="N37" s="343"/>
    </row>
    <row r="38" spans="2:14" ht="16.5" customHeight="1" x14ac:dyDescent="0.25">
      <c r="D38" s="270"/>
    </row>
    <row r="39" spans="2:14" ht="16.5" customHeight="1" x14ac:dyDescent="0.25">
      <c r="D39" s="270"/>
    </row>
    <row r="40" spans="2:14" ht="16.5" customHeight="1" x14ac:dyDescent="0.25">
      <c r="D40" s="270"/>
    </row>
    <row r="41" spans="2:14" ht="16.5" customHeight="1" x14ac:dyDescent="0.25">
      <c r="D41" s="270"/>
    </row>
    <row r="42" spans="2:14" ht="16.5" customHeight="1" x14ac:dyDescent="0.25">
      <c r="D42" s="270"/>
    </row>
    <row r="43" spans="2:14" ht="16.5" customHeight="1" x14ac:dyDescent="0.25">
      <c r="D43" s="270"/>
    </row>
    <row r="44" spans="2:14" ht="16.5" customHeight="1" x14ac:dyDescent="0.25">
      <c r="D44" s="270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4" t="str">
        <f xml:space="preserve"> "VEHICLES WITH FRUIT PASSING THROUGH " &amp; Location</f>
        <v>VEHICLES WITH FRUIT PASSING THROUGH OODLA WIRRA</v>
      </c>
      <c r="D2" s="385"/>
      <c r="E2" s="385"/>
      <c r="F2" s="385"/>
      <c r="G2" s="385"/>
      <c r="H2" s="385"/>
      <c r="I2" s="385"/>
      <c r="J2" s="386"/>
    </row>
    <row r="3" spans="3:10" ht="16.2" thickBot="1" x14ac:dyDescent="0.3">
      <c r="C3" s="387" t="str">
        <f>Month &amp; " " &amp; Year</f>
        <v>July 2021</v>
      </c>
      <c r="D3" s="388"/>
      <c r="E3" s="388"/>
      <c r="F3" s="388"/>
      <c r="G3" s="388"/>
      <c r="H3" s="388"/>
      <c r="I3" s="388"/>
      <c r="J3" s="389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0" t="s">
        <v>86</v>
      </c>
      <c r="D22" s="391"/>
      <c r="E22" s="391"/>
      <c r="F22" s="391"/>
      <c r="G22" s="392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2021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45" zoomScale="130" zoomScaleNormal="130" workbookViewId="0">
      <selection activeCell="Q4" sqref="Q4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2021 -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MAX(Shifts)</f>
        <v>0</v>
      </c>
      <c r="K52" s="248" t="s">
        <v>106</v>
      </c>
      <c r="L52" s="249">
        <f>COUNTIF(ShiftStats,"&gt;199")</f>
        <v>31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93"/>
      <c r="E58" s="394"/>
      <c r="F58" s="394"/>
      <c r="G58" s="394"/>
      <c r="H58" s="394"/>
      <c r="I58" s="394"/>
      <c r="J58" s="394"/>
      <c r="K58" s="394"/>
      <c r="L58" s="395"/>
    </row>
    <row r="59" spans="3:13" x14ac:dyDescent="0.25">
      <c r="D59" s="396"/>
      <c r="E59" s="397"/>
      <c r="F59" s="397"/>
      <c r="G59" s="397"/>
      <c r="H59" s="397"/>
      <c r="I59" s="397"/>
      <c r="J59" s="397"/>
      <c r="K59" s="397"/>
      <c r="L59" s="398"/>
    </row>
    <row r="60" spans="3:13" x14ac:dyDescent="0.25">
      <c r="D60" s="396"/>
      <c r="E60" s="397"/>
      <c r="F60" s="397"/>
      <c r="G60" s="397"/>
      <c r="H60" s="397"/>
      <c r="I60" s="397"/>
      <c r="J60" s="397"/>
      <c r="K60" s="397"/>
      <c r="L60" s="398"/>
    </row>
    <row r="61" spans="3:13" x14ac:dyDescent="0.25">
      <c r="D61" s="396"/>
      <c r="E61" s="397"/>
      <c r="F61" s="397"/>
      <c r="G61" s="397"/>
      <c r="H61" s="397"/>
      <c r="I61" s="397"/>
      <c r="J61" s="397"/>
      <c r="K61" s="397"/>
      <c r="L61" s="398"/>
    </row>
    <row r="62" spans="3:13" x14ac:dyDescent="0.25">
      <c r="D62" s="396"/>
      <c r="E62" s="397"/>
      <c r="F62" s="397"/>
      <c r="G62" s="397"/>
      <c r="H62" s="397"/>
      <c r="I62" s="397"/>
      <c r="J62" s="397"/>
      <c r="K62" s="397"/>
      <c r="L62" s="398"/>
    </row>
    <row r="63" spans="3:13" x14ac:dyDescent="0.25">
      <c r="D63" s="396"/>
      <c r="E63" s="397"/>
      <c r="F63" s="397"/>
      <c r="G63" s="397"/>
      <c r="H63" s="397"/>
      <c r="I63" s="397"/>
      <c r="J63" s="397"/>
      <c r="K63" s="397"/>
      <c r="L63" s="398"/>
    </row>
    <row r="64" spans="3:13" x14ac:dyDescent="0.25">
      <c r="D64" s="396"/>
      <c r="E64" s="397"/>
      <c r="F64" s="397"/>
      <c r="G64" s="397"/>
      <c r="H64" s="397"/>
      <c r="I64" s="397"/>
      <c r="J64" s="397"/>
      <c r="K64" s="397"/>
      <c r="L64" s="398"/>
    </row>
    <row r="65" spans="3:13" x14ac:dyDescent="0.25">
      <c r="D65" s="396"/>
      <c r="E65" s="397"/>
      <c r="F65" s="397"/>
      <c r="G65" s="397"/>
      <c r="H65" s="397"/>
      <c r="I65" s="397"/>
      <c r="J65" s="397"/>
      <c r="K65" s="397"/>
      <c r="L65" s="398"/>
    </row>
    <row r="66" spans="3:13" x14ac:dyDescent="0.25">
      <c r="D66" s="396"/>
      <c r="E66" s="397"/>
      <c r="F66" s="397"/>
      <c r="G66" s="397"/>
      <c r="H66" s="397"/>
      <c r="I66" s="397"/>
      <c r="J66" s="397"/>
      <c r="K66" s="397"/>
      <c r="L66" s="398"/>
    </row>
    <row r="67" spans="3:13" x14ac:dyDescent="0.25">
      <c r="D67" s="396"/>
      <c r="E67" s="397"/>
      <c r="F67" s="397"/>
      <c r="G67" s="397"/>
      <c r="H67" s="397"/>
      <c r="I67" s="397"/>
      <c r="J67" s="397"/>
      <c r="K67" s="397"/>
      <c r="L67" s="398"/>
    </row>
    <row r="68" spans="3:13" ht="13.8" thickBot="1" x14ac:dyDescent="0.3">
      <c r="D68" s="399"/>
      <c r="E68" s="400"/>
      <c r="F68" s="400"/>
      <c r="G68" s="400"/>
      <c r="H68" s="400"/>
      <c r="I68" s="400"/>
      <c r="J68" s="400"/>
      <c r="K68" s="400"/>
      <c r="L68" s="401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0</v>
      </c>
    </row>
    <row r="5" spans="1:86" s="215" customFormat="1" ht="21.6" customHeight="1" thickTop="1" thickBot="1" x14ac:dyDescent="0.3">
      <c r="G5" s="293" t="b">
        <v>0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406" t="s">
        <v>56</v>
      </c>
      <c r="H23" s="214" t="str">
        <f>TEXT(DATEVALUE(Day &amp; ", " &amp; Month &amp; ", " &amp; Year), "ddd, dd mmm, yyyy")</f>
        <v>Thu, 01 Jul, 2021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407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hidden="1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402" t="s">
        <v>57</v>
      </c>
      <c r="H41" s="212" t="str">
        <f>TEXT(DATEVALUE(Day &amp; ", " &amp; Month &amp; ", " &amp; Year), "ddd, dd mmm, yyyy")</f>
        <v>Thu, 01 Jul, 2021</v>
      </c>
      <c r="I41" s="212"/>
      <c r="J41" s="212" t="str">
        <f>"Page " &amp; IF(chkNights = TRUE, (Day * 3) - 1,IF(chkAfternoons = TRUE,(Day * 2) -1, Day))</f>
        <v>Page 1</v>
      </c>
    </row>
    <row r="42" spans="4:11" ht="6" customHeight="1" thickBot="1" x14ac:dyDescent="0.3">
      <c r="D42" s="403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hidden="1" customHeight="1" thickBot="1" x14ac:dyDescent="0.3"/>
    <row r="59" spans="4:11" ht="25.5" hidden="1" customHeight="1" thickTop="1" x14ac:dyDescent="0.25">
      <c r="D59" s="404" t="s">
        <v>58</v>
      </c>
      <c r="H59" s="213" t="str">
        <f>TEXT(DATEVALUE(Day &amp; ", " &amp; Month &amp; ", " &amp; Year), "ddd, dd mmm yyyy")</f>
        <v>Thu, 01 Jul 2021</v>
      </c>
      <c r="I59" s="213"/>
      <c r="J59" s="213" t="str">
        <f>"Page " &amp; IF(chkNights = TRUE, (Day * 3), Day * 2)</f>
        <v>Page 2</v>
      </c>
    </row>
    <row r="60" spans="4:11" ht="9" hidden="1" customHeight="1" thickBot="1" x14ac:dyDescent="0.3">
      <c r="D60" s="405"/>
    </row>
    <row r="61" spans="4:11" ht="25.2" hidden="1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hidden="1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hidden="1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hidden="1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hidden="1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hidden="1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hidden="1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hidden="1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hidden="1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hidden="1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hidden="1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hidden="1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hidden="1" customHeight="1" thickTop="1" thickBot="1" x14ac:dyDescent="0.3"/>
    <row r="74" spans="4:15" ht="16.5" hidden="1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hidden="1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75</xdr:row>
                <xdr:rowOff>0</xdr:rowOff>
              </from>
              <to>
                <xdr:col>6</xdr:col>
                <xdr:colOff>365760</xdr:colOff>
                <xdr:row>76</xdr:row>
                <xdr:rowOff>121920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08" t="s">
        <v>65</v>
      </c>
      <c r="E4" s="409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2021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21" label="2021"/>
            <item id="id2022" label="2022"/>
            <item id="id2023" label="2023"/>
            <item id="id2024" label="2024"/>
            <item id="id2025" label="2025"/>
            <item id="id2026" label="2026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88</vt:i4>
      </vt:variant>
    </vt:vector>
  </HeadingPairs>
  <TitlesOfParts>
    <vt:vector size="102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2021-11-26T21:40:13Z</dcterms:modified>
</cp:coreProperties>
</file>